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6A9B018-3A33-4A16-A800-DE1A61EE2811}" xr6:coauthVersionLast="47" xr6:coauthVersionMax="47" xr10:uidLastSave="{00000000-0000-0000-0000-000000000000}"/>
  <bookViews>
    <workbookView xWindow="0" yWindow="0" windowWidth="0" windowHeight="0" firstSheet="6" activeTab="7" xr2:uid="{00000000-000D-0000-FFFF-FFFF00000000}"/>
  </bookViews>
  <sheets>
    <sheet name="SalesData" sheetId="1" r:id="rId1"/>
    <sheet name="Clean_data" sheetId="3" r:id="rId2"/>
    <sheet name="Question" sheetId="5" r:id="rId3"/>
    <sheet name="month_data" sheetId="6" r:id="rId4"/>
    <sheet name="Regionwise-data" sheetId="4" r:id="rId5"/>
    <sheet name="category" sheetId="8" r:id="rId6"/>
    <sheet name="customer_analysis" sheetId="7" r:id="rId7"/>
    <sheet name="DashBoard" sheetId="9" r:id="rId8"/>
  </sheets>
  <definedNames>
    <definedName name="Slicer_Category">#N/A</definedName>
    <definedName name="Slicer_Category1">#N/A</definedName>
    <definedName name="Slicer_Product">#N/A</definedName>
  </definedNames>
  <calcPr calcId="191028"/>
  <pivotCaches>
    <pivotCache cacheId="990" r:id="rId9"/>
    <pivotCache cacheId="1016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9" i="7"/>
  <c r="G10" i="7"/>
  <c r="G11" i="7"/>
  <c r="G12" i="7"/>
  <c r="G13" i="7"/>
  <c r="F5" i="7"/>
  <c r="F6" i="7"/>
  <c r="F7" i="7"/>
  <c r="F8" i="7"/>
  <c r="F9" i="7"/>
  <c r="F10" i="7"/>
  <c r="F11" i="7"/>
  <c r="F12" i="7"/>
  <c r="F13" i="7"/>
  <c r="E5" i="7"/>
  <c r="E6" i="7"/>
  <c r="E7" i="7"/>
  <c r="E8" i="7"/>
  <c r="E9" i="7"/>
  <c r="E10" i="7"/>
  <c r="E11" i="7"/>
  <c r="E12" i="7"/>
  <c r="E13" i="7"/>
  <c r="D5" i="7"/>
  <c r="D6" i="7"/>
  <c r="D7" i="7"/>
  <c r="D8" i="7"/>
  <c r="D9" i="7"/>
  <c r="D10" i="7"/>
  <c r="D11" i="7"/>
  <c r="D12" i="7"/>
  <c r="D13" i="7"/>
  <c r="G4" i="7"/>
  <c r="F4" i="7"/>
  <c r="E4" i="7"/>
  <c r="D4" i="7"/>
  <c r="C4" i="7" a="1"/>
  <c r="C4" i="7"/>
  <c r="I14" i="5"/>
  <c r="C23" i="5" a="1"/>
  <c r="C23" i="5"/>
  <c r="C16" i="5"/>
  <c r="C13" i="5"/>
  <c r="C11" i="5"/>
  <c r="C4" i="5"/>
  <c r="C8" i="5"/>
  <c r="I19" i="5"/>
  <c r="I17" i="5"/>
  <c r="C19" i="5"/>
  <c r="L5" i="3"/>
  <c r="J5" i="5" a="1"/>
  <c r="J5" i="5"/>
  <c r="I5" i="5" a="1"/>
  <c r="I5" i="5"/>
  <c r="N4" i="3" a="1"/>
  <c r="N4" i="3"/>
  <c r="K5" i="1"/>
  <c r="K2" i="1"/>
  <c r="K3" i="1"/>
  <c r="K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L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<sst xmlns="http://schemas.openxmlformats.org/spreadsheetml/2006/main" count="6095" uniqueCount="357">
  <si>
    <t>OrderID</t>
  </si>
  <si>
    <t>OrderDate</t>
  </si>
  <si>
    <t>CustomerName</t>
  </si>
  <si>
    <t>Region</t>
  </si>
  <si>
    <t>Product</t>
  </si>
  <si>
    <t>Category</t>
  </si>
  <si>
    <t>Quantity</t>
  </si>
  <si>
    <t>UnitPrice</t>
  </si>
  <si>
    <t>TotalAmount</t>
  </si>
  <si>
    <t>PaymentMode</t>
  </si>
  <si>
    <t>Month_Name</t>
  </si>
  <si>
    <t>2024-01-23</t>
  </si>
  <si>
    <t>Amit</t>
  </si>
  <si>
    <t>North</t>
  </si>
  <si>
    <t>Desk</t>
  </si>
  <si>
    <t>Furniture</t>
  </si>
  <si>
    <t>Net Banking</t>
  </si>
  <si>
    <t>2024-07-16</t>
  </si>
  <si>
    <t>East</t>
  </si>
  <si>
    <t>Chair</t>
  </si>
  <si>
    <t>Cash</t>
  </si>
  <si>
    <t>2024-01-20</t>
  </si>
  <si>
    <t>Pooja</t>
  </si>
  <si>
    <t>West</t>
  </si>
  <si>
    <t>2024-04-03</t>
  </si>
  <si>
    <t>Neha</t>
  </si>
  <si>
    <t>Printer</t>
  </si>
  <si>
    <t>Electronics</t>
  </si>
  <si>
    <t>2024-03-20</t>
  </si>
  <si>
    <t>Rahul</t>
  </si>
  <si>
    <t>South</t>
  </si>
  <si>
    <t>2024-11-24</t>
  </si>
  <si>
    <t>Priya</t>
  </si>
  <si>
    <t>Laptop</t>
  </si>
  <si>
    <t>UPI</t>
  </si>
  <si>
    <t>2024-09-16</t>
  </si>
  <si>
    <t>2024-03-04</t>
  </si>
  <si>
    <t>2024-01-18</t>
  </si>
  <si>
    <t>Card</t>
  </si>
  <si>
    <t>2024-06-07</t>
  </si>
  <si>
    <t>Mobile</t>
  </si>
  <si>
    <t>2024-11-27</t>
  </si>
  <si>
    <t>Vikas</t>
  </si>
  <si>
    <t>Notebook</t>
  </si>
  <si>
    <t>Stationery</t>
  </si>
  <si>
    <t>2024-01-30</t>
  </si>
  <si>
    <t>2024-06-17</t>
  </si>
  <si>
    <t>Anjali</t>
  </si>
  <si>
    <t>2024-05-03</t>
  </si>
  <si>
    <t>2024-02-18</t>
  </si>
  <si>
    <t>Headphones</t>
  </si>
  <si>
    <t>Accessories</t>
  </si>
  <si>
    <t>2024-05-12</t>
  </si>
  <si>
    <t>2024-11-28</t>
  </si>
  <si>
    <t>Ravi</t>
  </si>
  <si>
    <t>2024-06-11</t>
  </si>
  <si>
    <t>2024-10-17</t>
  </si>
  <si>
    <t>Pen</t>
  </si>
  <si>
    <t>2024-01-19</t>
  </si>
  <si>
    <t>2024-02-20</t>
  </si>
  <si>
    <t>Suresh</t>
  </si>
  <si>
    <t>2024-04-02</t>
  </si>
  <si>
    <t>2024-07-11</t>
  </si>
  <si>
    <t>2024-10-28</t>
  </si>
  <si>
    <t>2024-02-01</t>
  </si>
  <si>
    <t>2024-07-05</t>
  </si>
  <si>
    <t>2024-10-05</t>
  </si>
  <si>
    <t>2024-04-10</t>
  </si>
  <si>
    <t>2024-04-25</t>
  </si>
  <si>
    <t>2024-09-27</t>
  </si>
  <si>
    <t>2024-03-22</t>
  </si>
  <si>
    <t>Kiran</t>
  </si>
  <si>
    <t>2024-08-25</t>
  </si>
  <si>
    <t>2024-12-08</t>
  </si>
  <si>
    <t>2024-10-29</t>
  </si>
  <si>
    <t>2024-10-01</t>
  </si>
  <si>
    <t>2024-07-26</t>
  </si>
  <si>
    <t>2024-11-19</t>
  </si>
  <si>
    <t>2024-07-04</t>
  </si>
  <si>
    <t>2024-11-26</t>
  </si>
  <si>
    <t>2024-05-26</t>
  </si>
  <si>
    <t>2024-03-19</t>
  </si>
  <si>
    <t>2024-11-04</t>
  </si>
  <si>
    <t>2024-07-23</t>
  </si>
  <si>
    <t>2024-11-07</t>
  </si>
  <si>
    <t>2024-09-20</t>
  </si>
  <si>
    <t>2024-03-21</t>
  </si>
  <si>
    <t>2024-07-15</t>
  </si>
  <si>
    <t>2024-09-05</t>
  </si>
  <si>
    <t>2024-12-19</t>
  </si>
  <si>
    <t>2024-09-01</t>
  </si>
  <si>
    <t>2024-10-25</t>
  </si>
  <si>
    <t>2024-12-04</t>
  </si>
  <si>
    <t>2024-02-21</t>
  </si>
  <si>
    <t>2024-05-19</t>
  </si>
  <si>
    <t>2024-10-13</t>
  </si>
  <si>
    <t>2024-09-03</t>
  </si>
  <si>
    <t>2024-09-24</t>
  </si>
  <si>
    <t>2024-11-05</t>
  </si>
  <si>
    <t>2024-09-18</t>
  </si>
  <si>
    <t>2024-03-28</t>
  </si>
  <si>
    <t>2024-03-18</t>
  </si>
  <si>
    <t>2024-01-05</t>
  </si>
  <si>
    <t>2024-10-19</t>
  </si>
  <si>
    <t>2024-12-29</t>
  </si>
  <si>
    <t>2024-05-23</t>
  </si>
  <si>
    <t>2024-02-11</t>
  </si>
  <si>
    <t>2024-03-23</t>
  </si>
  <si>
    <t>2024-01-12</t>
  </si>
  <si>
    <t>2024-11-23</t>
  </si>
  <si>
    <t>2024-05-10</t>
  </si>
  <si>
    <t>2024-11-02</t>
  </si>
  <si>
    <t>2024-02-10</t>
  </si>
  <si>
    <t>2024-07-27</t>
  </si>
  <si>
    <t>2024-02-15</t>
  </si>
  <si>
    <t>2024-01-16</t>
  </si>
  <si>
    <t>2024-02-14</t>
  </si>
  <si>
    <t>2024-05-05</t>
  </si>
  <si>
    <t>2024-07-24</t>
  </si>
  <si>
    <t>2024-01-14</t>
  </si>
  <si>
    <t>2024-08-06</t>
  </si>
  <si>
    <t>2024-02-28</t>
  </si>
  <si>
    <t>2024-12-17</t>
  </si>
  <si>
    <t>2024-07-09</t>
  </si>
  <si>
    <t>2024-01-09</t>
  </si>
  <si>
    <t>2024-07-22</t>
  </si>
  <si>
    <t>2024-06-13</t>
  </si>
  <si>
    <t>2024-03-02</t>
  </si>
  <si>
    <t>2024-11-13</t>
  </si>
  <si>
    <t>2024-06-04</t>
  </si>
  <si>
    <t>2024-12-26</t>
  </si>
  <si>
    <t>2024-03-17</t>
  </si>
  <si>
    <t>2024-10-20</t>
  </si>
  <si>
    <t>2024-01-08</t>
  </si>
  <si>
    <t>2024-05-06</t>
  </si>
  <si>
    <t>2024-04-07</t>
  </si>
  <si>
    <t>2024-10-09</t>
  </si>
  <si>
    <t>2024-10-08</t>
  </si>
  <si>
    <t>2024-12-20</t>
  </si>
  <si>
    <t>2024-02-19</t>
  </si>
  <si>
    <t>2024-01-15</t>
  </si>
  <si>
    <t>2024-08-02</t>
  </si>
  <si>
    <t>2024-02-16</t>
  </si>
  <si>
    <t>2024-07-31</t>
  </si>
  <si>
    <t>2024-10-10</t>
  </si>
  <si>
    <t>2024-09-22</t>
  </si>
  <si>
    <t>2024-03-30</t>
  </si>
  <si>
    <t>2024-01-22</t>
  </si>
  <si>
    <t>2024-05-31</t>
  </si>
  <si>
    <t>2024-10-23</t>
  </si>
  <si>
    <t>2024-04-04</t>
  </si>
  <si>
    <t>2024-03-05</t>
  </si>
  <si>
    <t>2024-06-10</t>
  </si>
  <si>
    <t>2024-04-28</t>
  </si>
  <si>
    <t>2024-05-18</t>
  </si>
  <si>
    <t>2024-07-01</t>
  </si>
  <si>
    <t>2024-12-15</t>
  </si>
  <si>
    <t>2024-12-11</t>
  </si>
  <si>
    <t>2024-04-23</t>
  </si>
  <si>
    <t>2024-01-26</t>
  </si>
  <si>
    <t>2024-07-18</t>
  </si>
  <si>
    <t>2024-03-31</t>
  </si>
  <si>
    <t>2024-05-17</t>
  </si>
  <si>
    <t>2024-04-19</t>
  </si>
  <si>
    <t>2024-05-14</t>
  </si>
  <si>
    <t>2024-08-11</t>
  </si>
  <si>
    <t>2024-03-13</t>
  </si>
  <si>
    <t>2024-03-01</t>
  </si>
  <si>
    <t>2024-03-15</t>
  </si>
  <si>
    <t>2024-09-14</t>
  </si>
  <si>
    <t>2024-12-05</t>
  </si>
  <si>
    <t>2024-04-13</t>
  </si>
  <si>
    <t>2024-06-12</t>
  </si>
  <si>
    <t>2024-09-28</t>
  </si>
  <si>
    <t>2024-12-22</t>
  </si>
  <si>
    <t>2024-02-09</t>
  </si>
  <si>
    <t>2024-03-16</t>
  </si>
  <si>
    <t>2024-04-24</t>
  </si>
  <si>
    <t>2024-03-07</t>
  </si>
  <si>
    <t>2024-09-19</t>
  </si>
  <si>
    <t>2024-05-09</t>
  </si>
  <si>
    <t>2024-11-18</t>
  </si>
  <si>
    <t>2024-06-27</t>
  </si>
  <si>
    <t>2024-06-30</t>
  </si>
  <si>
    <t>2024-01-06</t>
  </si>
  <si>
    <t>2024-06-25</t>
  </si>
  <si>
    <t>2024-06-01</t>
  </si>
  <si>
    <t>2024-04-26</t>
  </si>
  <si>
    <t>2024-02-12</t>
  </si>
  <si>
    <t>2024-02-23</t>
  </si>
  <si>
    <t>2024-04-06</t>
  </si>
  <si>
    <t>2024-06-03</t>
  </si>
  <si>
    <t>2024-03-14</t>
  </si>
  <si>
    <t>2024-11-29</t>
  </si>
  <si>
    <t>2024-08-09</t>
  </si>
  <si>
    <t>2024-06-02</t>
  </si>
  <si>
    <t>2024-09-21</t>
  </si>
  <si>
    <t>2024-12-16</t>
  </si>
  <si>
    <t>2024-12-23</t>
  </si>
  <si>
    <t>2024-08-10</t>
  </si>
  <si>
    <t>2024-11-22</t>
  </si>
  <si>
    <t>2024-05-27</t>
  </si>
  <si>
    <t>2024-08-27</t>
  </si>
  <si>
    <t>2024-10-18</t>
  </si>
  <si>
    <t>2024-06-14</t>
  </si>
  <si>
    <t>2024-03-29</t>
  </si>
  <si>
    <t>2024-05-15</t>
  </si>
  <si>
    <t>2024-11-08</t>
  </si>
  <si>
    <t>2024-01-07</t>
  </si>
  <si>
    <t>2024-08-30</t>
  </si>
  <si>
    <t>2024-10-14</t>
  </si>
  <si>
    <t>2024-09-13</t>
  </si>
  <si>
    <t>2024-10-12</t>
  </si>
  <si>
    <t>2024-07-19</t>
  </si>
  <si>
    <t>2024-02-07</t>
  </si>
  <si>
    <t>2024-09-30</t>
  </si>
  <si>
    <t>2024-02-02</t>
  </si>
  <si>
    <t>2024-06-09</t>
  </si>
  <si>
    <t>2024-03-03</t>
  </si>
  <si>
    <t>2024-05-29</t>
  </si>
  <si>
    <t>2024-12-07</t>
  </si>
  <si>
    <t>2024-04-01</t>
  </si>
  <si>
    <t>2024-12-28</t>
  </si>
  <si>
    <t>2024-11-20</t>
  </si>
  <si>
    <t>2024-09-07</t>
  </si>
  <si>
    <t>2024-06-08</t>
  </si>
  <si>
    <t>2024-09-23</t>
  </si>
  <si>
    <t>2024-11-25</t>
  </si>
  <si>
    <t>2024-07-17</t>
  </si>
  <si>
    <t>2024-12-10</t>
  </si>
  <si>
    <t>2024-06-18</t>
  </si>
  <si>
    <t>2024-03-09</t>
  </si>
  <si>
    <t>2024-10-24</t>
  </si>
  <si>
    <t>2024-11-09</t>
  </si>
  <si>
    <t>2024-03-08</t>
  </si>
  <si>
    <t>2024-01-11</t>
  </si>
  <si>
    <t>2024-04-21</t>
  </si>
  <si>
    <t>2024-08-14</t>
  </si>
  <si>
    <t>2024-12-06</t>
  </si>
  <si>
    <t>2024-11-06</t>
  </si>
  <si>
    <t>2024-12-21</t>
  </si>
  <si>
    <t>2024-12-03</t>
  </si>
  <si>
    <t>2024-06-16</t>
  </si>
  <si>
    <t>2024-01-29</t>
  </si>
  <si>
    <t>2024-04-08</t>
  </si>
  <si>
    <t>2024-08-12</t>
  </si>
  <si>
    <t>2024-07-12</t>
  </si>
  <si>
    <t>2024-09-04</t>
  </si>
  <si>
    <t>2024-10-21</t>
  </si>
  <si>
    <t>2024-11-15</t>
  </si>
  <si>
    <t>2024-06-05</t>
  </si>
  <si>
    <t>2024-04-22</t>
  </si>
  <si>
    <t>2024-07-07</t>
  </si>
  <si>
    <t>2024-01-03</t>
  </si>
  <si>
    <t>2024-08-21</t>
  </si>
  <si>
    <t>2024-04-29</t>
  </si>
  <si>
    <t>2024-07-06</t>
  </si>
  <si>
    <t>2024-07-30</t>
  </si>
  <si>
    <t>2024-07-08</t>
  </si>
  <si>
    <t>2024-08-18</t>
  </si>
  <si>
    <t>2024-08-13</t>
  </si>
  <si>
    <t>2024-03-10</t>
  </si>
  <si>
    <t>2024-08-17</t>
  </si>
  <si>
    <t>2024-12-18</t>
  </si>
  <si>
    <t>2024-09-15</t>
  </si>
  <si>
    <t>2024-04-20</t>
  </si>
  <si>
    <t>2024-05-11</t>
  </si>
  <si>
    <t>2024-02-24</t>
  </si>
  <si>
    <t>2024-12-24</t>
  </si>
  <si>
    <t>2024-02-25</t>
  </si>
  <si>
    <t>2024-02-08</t>
  </si>
  <si>
    <t>2024-10-26</t>
  </si>
  <si>
    <t>2024-12-01</t>
  </si>
  <si>
    <t>2024-05-22</t>
  </si>
  <si>
    <t>2024-05-16</t>
  </si>
  <si>
    <t>2024-01-02</t>
  </si>
  <si>
    <t>2024-06-22</t>
  </si>
  <si>
    <t>2024-12-12</t>
  </si>
  <si>
    <t>2024-01-17</t>
  </si>
  <si>
    <t>2024-02-06</t>
  </si>
  <si>
    <t>2024-07-25</t>
  </si>
  <si>
    <t>2024-04-27</t>
  </si>
  <si>
    <t>2024-12-25</t>
  </si>
  <si>
    <t>2024-01-01</t>
  </si>
  <si>
    <t>2024-03-26</t>
  </si>
  <si>
    <t>2024-10-16</t>
  </si>
  <si>
    <t>2024-12-30</t>
  </si>
  <si>
    <t>2024-11-10</t>
  </si>
  <si>
    <t>2024-06-24</t>
  </si>
  <si>
    <t>2024-04-14</t>
  </si>
  <si>
    <t>2024-08-23</t>
  </si>
  <si>
    <t>2024-08-04</t>
  </si>
  <si>
    <t>2024-05-13</t>
  </si>
  <si>
    <t>2024-05-30</t>
  </si>
  <si>
    <t>2024-04-17</t>
  </si>
  <si>
    <t>2024-06-28</t>
  </si>
  <si>
    <t>2024-11-17</t>
  </si>
  <si>
    <t>2024-09-29</t>
  </si>
  <si>
    <t>2024-03-11</t>
  </si>
  <si>
    <t>2024-12-13</t>
  </si>
  <si>
    <t>2024-11-12</t>
  </si>
  <si>
    <t>2024-01-24</t>
  </si>
  <si>
    <t>2024-05-02</t>
  </si>
  <si>
    <t>2024-07-13</t>
  </si>
  <si>
    <t>2024-10-11</t>
  </si>
  <si>
    <t>2024-11-16</t>
  </si>
  <si>
    <t>2024-09-10</t>
  </si>
  <si>
    <t>2024-08-15</t>
  </si>
  <si>
    <t>2024-07-02</t>
  </si>
  <si>
    <t>value</t>
  </si>
  <si>
    <t>Fuction</t>
  </si>
  <si>
    <t>Unique_names</t>
  </si>
  <si>
    <t>vlookup</t>
  </si>
  <si>
    <t>Questions</t>
  </si>
  <si>
    <t>Checking  total amount with customerid using vlookup</t>
  </si>
  <si>
    <t>UniqueCategoryNames</t>
  </si>
  <si>
    <t>Product_Names</t>
  </si>
  <si>
    <t>check for total amount of category wise</t>
  </si>
  <si>
    <t xml:space="preserve">Checking quantity of orders monthwise </t>
  </si>
  <si>
    <t>may</t>
  </si>
  <si>
    <t>+</t>
  </si>
  <si>
    <t>Total revenue percentage generated by region wise</t>
  </si>
  <si>
    <t>east</t>
  </si>
  <si>
    <t>Checking Total amount orders of each month</t>
  </si>
  <si>
    <t>jun</t>
  </si>
  <si>
    <t>Total revenue generated in sales</t>
  </si>
  <si>
    <t>Checking category wie quantity of customers ordered</t>
  </si>
  <si>
    <t>Total revenue  generated by region wise</t>
  </si>
  <si>
    <t>Count of OrderID</t>
  </si>
  <si>
    <t>Sum of Quantity</t>
  </si>
  <si>
    <t>Sum of TotalAmount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</si>
  <si>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</si>
  <si>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</si>
  <si>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</si>
  <si>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</si>
  <si>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</si>
  <si>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</si>
  <si>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</si>
  <si>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</si>
  <si>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</si>
  <si>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</si>
  <si>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</si>
  <si>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Grand Total</t>
  </si>
  <si>
    <t>Name</t>
  </si>
  <si>
    <t>Total_orders</t>
  </si>
  <si>
    <t>total_orders_quantity</t>
  </si>
  <si>
    <t>total_amount_spent</t>
  </si>
  <si>
    <t>Showing That West regions Performs well than other regions</t>
  </si>
  <si>
    <t>Clearly shows that  electronics are highest performer and accessries are under performer</t>
  </si>
  <si>
    <t xml:space="preserve">Buisiness Insight </t>
  </si>
  <si>
    <t>Buisiness Decision</t>
  </si>
  <si>
    <t>Insight</t>
  </si>
  <si>
    <t>Solution</t>
  </si>
  <si>
    <t xml:space="preserve">It clearly shows that west Regions gets more orders and sales as compared to other regions </t>
  </si>
  <si>
    <t>From the above insight we can make decions like investing more money of every category than other regions as it has capability of high performance to get more profits</t>
  </si>
  <si>
    <t>It clearly shows that electronics is high performance category and accessories is low performance category</t>
  </si>
  <si>
    <t>Reducing % of investment on accessories and shift that amount on high performance category 'electronics'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</si>
</sst>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>
    <font>
      <sz val="11"/>
      <color theme="1"/>
      <name val="Calibri"/>
      <family val="2"/>
      <scheme val="minor"/>
    </font>
    <font>
      <b/>
      <sz val="11"/>
      <color rgb="FF00B05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0" applyFont="1" applyFill="1"/>
    <xf numFmtId="0" fontId="5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14"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₹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[RealTime_Sales_Data 2.xlsx]month_data!PivotTable3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over months</a:t>
            </a:r>
          </a:p>
        </c:rich>
      </c:tx>
      <c:overlay val="0"/>
      <c:spPr>
        <a:solidFill>
          <a:srgbClr val="948A5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month_data!$B$3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month_data!$A$4:$A$15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month_data!$B$4:$B$15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2-4233-8B08-5CDA9A70BFC6}"/>
            </c:ext>
          </c:extLst>
        </c:ser>
        <c:ser>
          <c:idx val="1"/>
          <c:order val="1"/>
          <c:tx>
            <c:strRef>
              <c:f>month_data!$C$3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month_data!$A$4:$A$15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month_data!$C$4:$C$15</c:f>
              <c:numCache>
                <c:formatCode>General</c:formatCode>
                <c:ptCount val="11"/>
                <c:pt idx="0">
                  <c:v>5</c:v>
                </c:pt>
                <c:pt idx="1">
                  <c:v>7</c:v>
                </c:pt>
                <c:pt idx="2">
                  <c:v>15</c:v>
                </c:pt>
                <c:pt idx="3">
                  <c:v>1</c:v>
                </c:pt>
                <c:pt idx="4">
                  <c:v>6</c:v>
                </c:pt>
                <c:pt idx="5">
                  <c:v>4</c:v>
                </c:pt>
                <c:pt idx="6">
                  <c:v>15</c:v>
                </c:pt>
                <c:pt idx="7">
                  <c:v>6</c:v>
                </c:pt>
                <c:pt idx="8">
                  <c:v>20</c:v>
                </c:pt>
                <c:pt idx="9">
                  <c:v>13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82-4233-8B08-5CDA9A70BFC6}"/>
            </c:ext>
          </c:extLst>
        </c:ser>
        <c:ser>
          <c:idx val="2"/>
          <c:order val="2"/>
          <c:tx>
            <c:strRef>
              <c:f>month_data!$D$3</c:f>
              <c:strCache>
                <c:ptCount val="1"/>
                <c:pt idx="0">
                  <c:v>Sum of TotalAmount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month_data!$A$4:$A$15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month_data!$D$4:$D$15</c:f>
              <c:numCache>
                <c:formatCode>General</c:formatCode>
                <c:ptCount val="11"/>
                <c:pt idx="0">
                  <c:v>100</c:v>
                </c:pt>
                <c:pt idx="1">
                  <c:v>140</c:v>
                </c:pt>
                <c:pt idx="2">
                  <c:v>1600</c:v>
                </c:pt>
                <c:pt idx="3">
                  <c:v>150</c:v>
                </c:pt>
                <c:pt idx="4">
                  <c:v>510</c:v>
                </c:pt>
                <c:pt idx="5">
                  <c:v>80</c:v>
                </c:pt>
                <c:pt idx="6">
                  <c:v>1470</c:v>
                </c:pt>
                <c:pt idx="7">
                  <c:v>770</c:v>
                </c:pt>
                <c:pt idx="8">
                  <c:v>2350</c:v>
                </c:pt>
                <c:pt idx="9">
                  <c:v>650</c:v>
                </c:pt>
                <c:pt idx="10">
                  <c:v>1690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4-4903-87BE-158C1071C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795784"/>
        <c:axId val="1806815240"/>
      </c:lineChart>
      <c:catAx>
        <c:axId val="180679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15240"/>
        <c:crosses val="autoZero"/>
        <c:auto val="1"/>
        <c:lblAlgn val="ctr"/>
        <c:lblOffset val="100"/>
        <c:noMultiLvlLbl val="0"/>
      </c:catAx>
      <c:valAx>
        <c:axId val="180681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9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[RealTime_Sales_Data 2.xlsx]Regionwise-data!PivotTable1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'Regionwise-data'!$B$3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FC-4F39-BB6F-3168684AE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FC-4F39-BB6F-3168684AED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FC-4F39-BB6F-3168684AED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FC-4F39-BB6F-3168684AED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'Regionwise-data'!$B$4:$B$8</c:f>
              <c:numCache>
                <c:formatCode>General</c:formatCode>
                <c:ptCount val="4"/>
                <c:pt idx="0">
                  <c:v>125</c:v>
                </c:pt>
                <c:pt idx="1">
                  <c:v>111</c:v>
                </c:pt>
                <c:pt idx="2">
                  <c:v>118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0-4A52-9EFB-D84B9E7B1D91}"/>
            </c:ext>
          </c:extLst>
        </c:ser>
        <c:ser>
          <c:idx val="1"/>
          <c:order val="1"/>
          <c:tx>
            <c:strRef>
              <c:f>'Regionwise-data'!$C$3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FC-4F39-BB6F-3168684AE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FC-4F39-BB6F-3168684AED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FC-4F39-BB6F-3168684AED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FC-4F39-BB6F-3168684AED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'Regionwise-data'!$C$4:$C$8</c:f>
              <c:numCache>
                <c:formatCode>General</c:formatCode>
                <c:ptCount val="4"/>
                <c:pt idx="0">
                  <c:v>393</c:v>
                </c:pt>
                <c:pt idx="1">
                  <c:v>346</c:v>
                </c:pt>
                <c:pt idx="2">
                  <c:v>339</c:v>
                </c:pt>
                <c:pt idx="3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0-4A52-9EFB-D84B9E7B1D91}"/>
            </c:ext>
          </c:extLst>
        </c:ser>
        <c:ser>
          <c:idx val="2"/>
          <c:order val="2"/>
          <c:tx>
            <c:strRef>
              <c:f>'Regionwise-data'!$D$3</c:f>
              <c:strCache>
                <c:ptCount val="1"/>
                <c:pt idx="0">
                  <c:v>Sum of TotalAmount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FC-4F39-BB6F-3168684AED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FC-4F39-BB6F-3168684AED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1FC-4F39-BB6F-3168684AED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1FC-4F39-BB6F-3168684AED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'Regionwise-data'!$D$4:$D$8</c:f>
              <c:numCache>
                <c:formatCode>General</c:formatCode>
                <c:ptCount val="4"/>
                <c:pt idx="0">
                  <c:v>6030780</c:v>
                </c:pt>
                <c:pt idx="1">
                  <c:v>3561010</c:v>
                </c:pt>
                <c:pt idx="2">
                  <c:v>5341150</c:v>
                </c:pt>
                <c:pt idx="3">
                  <c:v>5846080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A0-4A52-9EFB-D84B9E7B1D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[RealTime_Sales_Data 2.xlsx]category!PivotTable1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category!$B$4:$B$8</c:f>
              <c:numCache>
                <c:formatCode>General</c:formatCode>
                <c:ptCount val="4"/>
                <c:pt idx="0">
                  <c:v>47</c:v>
                </c:pt>
                <c:pt idx="1">
                  <c:v>33</c:v>
                </c:pt>
                <c:pt idx="2">
                  <c:v>32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4-4931-AD4D-E22D71741403}"/>
            </c:ext>
          </c:extLst>
        </c:ser>
        <c:ser>
          <c:idx val="1"/>
          <c:order val="1"/>
          <c:tx>
            <c:strRef>
              <c:f>category!$C$3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category!$C$4:$C$8</c:f>
              <c:numCache>
                <c:formatCode>General</c:formatCode>
                <c:ptCount val="4"/>
                <c:pt idx="0">
                  <c:v>167</c:v>
                </c:pt>
                <c:pt idx="1">
                  <c:v>98</c:v>
                </c:pt>
                <c:pt idx="2">
                  <c:v>92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4-4931-AD4D-E22D7174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141320"/>
        <c:axId val="2059616776"/>
      </c:barChart>
      <c:lineChart>
        <c:grouping val="standard"/>
        <c:varyColors val="0"/>
        <c:ser>
          <c:idx val="2"/>
          <c:order val="2"/>
          <c:tx>
            <c:strRef>
              <c:f>category!$D$3</c:f>
              <c:strCache>
                <c:ptCount val="1"/>
                <c:pt idx="0">
                  <c:v>Sum of TotalAmount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category!$D$4:$D$8</c:f>
              <c:numCache>
                <c:formatCode>"₹"\ #,##0.00</c:formatCode>
                <c:ptCount val="4"/>
                <c:pt idx="0">
                  <c:v>5350000</c:v>
                </c:pt>
                <c:pt idx="1">
                  <c:v>602000</c:v>
                </c:pt>
                <c:pt idx="2">
                  <c:v>6780</c:v>
                </c:pt>
                <c:pt idx="3">
                  <c:v>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34-4931-AD4D-E22D7174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176"/>
        <c:axId val="7492104"/>
      </c:lineChart>
      <c:catAx>
        <c:axId val="166414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16776"/>
        <c:crosses val="autoZero"/>
        <c:auto val="1"/>
        <c:lblAlgn val="ctr"/>
        <c:lblOffset val="100"/>
        <c:noMultiLvlLbl val="0"/>
      </c:catAx>
      <c:valAx>
        <c:axId val="20596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141320"/>
        <c:crosses val="autoZero"/>
        <c:crossBetween val="between"/>
      </c:valAx>
      <c:valAx>
        <c:axId val="7492104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5176"/>
        <c:crosses val="max"/>
        <c:crossBetween val="between"/>
      </c:valAx>
      <c:catAx>
        <c:axId val="7495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92104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[RealTime_Sales_Data 2.xlsx]Regionwise-data!PivotTable1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Total_Orders_Count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'Regionwise-data'!$B$3</c:f>
              <c:strCache>
                <c:ptCount val="1"/>
                <c:pt idx="0">
                  <c:v>Count of OrderID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75-409F-B71F-869E9620D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75-409F-B71F-869E9620D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75-409F-B71F-869E9620D9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75-409F-B71F-869E9620D9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'Regionwise-data'!$B$4:$B$8</c:f>
              <c:numCache>
                <c:formatCode>General</c:formatCode>
                <c:ptCount val="4"/>
                <c:pt idx="0">
                  <c:v>125</c:v>
                </c:pt>
                <c:pt idx="1">
                  <c:v>111</c:v>
                </c:pt>
                <c:pt idx="2">
                  <c:v>118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75-409F-B71F-869E9620D9EA}"/>
            </c:ext>
          </c:extLst>
        </c:ser>
        <c:ser>
          <c:idx val="1"/>
          <c:order val="1"/>
          <c:tx>
            <c:strRef>
              <c:f>'Regionwise-data'!$C$3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075-409F-B71F-869E9620D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075-409F-B71F-869E9620D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075-409F-B71F-869E9620D9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075-409F-B71F-869E9620D9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'Regionwise-data'!$C$4:$C$8</c:f>
              <c:numCache>
                <c:formatCode>General</c:formatCode>
                <c:ptCount val="4"/>
                <c:pt idx="0">
                  <c:v>393</c:v>
                </c:pt>
                <c:pt idx="1">
                  <c:v>346</c:v>
                </c:pt>
                <c:pt idx="2">
                  <c:v>339</c:v>
                </c:pt>
                <c:pt idx="3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075-409F-B71F-869E9620D9EA}"/>
            </c:ext>
          </c:extLst>
        </c:ser>
        <c:ser>
          <c:idx val="2"/>
          <c:order val="2"/>
          <c:tx>
            <c:strRef>
              <c:f>'Regionwise-data'!$D$3</c:f>
              <c:strCache>
                <c:ptCount val="1"/>
                <c:pt idx="0">
                  <c:v>Sum of TotalAmount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75-409F-B71F-869E9620D9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75-409F-B71F-869E9620D9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75-409F-B71F-869E9620D9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075-409F-B71F-869E9620D9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'Regionwise-data'!$A$4:$A$8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'Regionwise-data'!$D$4:$D$8</c:f>
              <c:numCache>
                <c:formatCode>General</c:formatCode>
                <c:ptCount val="4"/>
                <c:pt idx="0">
                  <c:v>6030780</c:v>
                </c:pt>
                <c:pt idx="1">
                  <c:v>3561010</c:v>
                </c:pt>
                <c:pt idx="2">
                  <c:v>5341150</c:v>
                </c:pt>
                <c:pt idx="3">
                  <c:v>5846080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075-409F-B71F-869E9620D9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[RealTime_Sales_Data 2.xlsx]category!PivotTable1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category!$B$4:$B$8</c:f>
              <c:numCache>
                <c:formatCode>General</c:formatCode>
                <c:ptCount val="4"/>
                <c:pt idx="0">
                  <c:v>47</c:v>
                </c:pt>
                <c:pt idx="1">
                  <c:v>33</c:v>
                </c:pt>
                <c:pt idx="2">
                  <c:v>32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A-4682-8433-0F0BCE5590F8}"/>
            </c:ext>
          </c:extLst>
        </c:ser>
        <c:ser>
          <c:idx val="1"/>
          <c:order val="1"/>
          <c:tx>
            <c:strRef>
              <c:f>category!$C$3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category!$C$4:$C$8</c:f>
              <c:numCache>
                <c:formatCode>General</c:formatCode>
                <c:ptCount val="4"/>
                <c:pt idx="0">
                  <c:v>167</c:v>
                </c:pt>
                <c:pt idx="1">
                  <c:v>98</c:v>
                </c:pt>
                <c:pt idx="2">
                  <c:v>92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FA-4682-8433-0F0BCE55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4141320"/>
        <c:axId val="2059616776"/>
      </c:barChart>
      <c:lineChart>
        <c:grouping val="standard"/>
        <c:varyColors val="0"/>
        <c:ser>
          <c:idx val="2"/>
          <c:order val="2"/>
          <c:tx>
            <c:strRef>
              <c:f>category!$D$3</c:f>
              <c:strCache>
                <c:ptCount val="1"/>
                <c:pt idx="0">
                  <c:v>Sum of TotalAmount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  <c:pt idx="3">
                  <c:v>Accessories</c:v>
                </c:pt>
              </c:strCache>
            </c:strRef>
          </c:cat>
          <c:val>
            <c:numRef>
              <c:f>category!$D$4:$D$8</c:f>
              <c:numCache>
                <c:formatCode>"₹"\ #,##0.00</c:formatCode>
                <c:ptCount val="4"/>
                <c:pt idx="0">
                  <c:v>5350000</c:v>
                </c:pt>
                <c:pt idx="1">
                  <c:v>602000</c:v>
                </c:pt>
                <c:pt idx="2">
                  <c:v>6780</c:v>
                </c:pt>
                <c:pt idx="3">
                  <c:v>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FA-4682-8433-0F0BCE559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434119"/>
        <c:axId val="2105421831"/>
      </c:lineChart>
      <c:catAx>
        <c:axId val="166414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16776"/>
        <c:crosses val="autoZero"/>
        <c:auto val="1"/>
        <c:lblAlgn val="ctr"/>
        <c:lblOffset val="100"/>
        <c:noMultiLvlLbl val="0"/>
      </c:catAx>
      <c:valAx>
        <c:axId val="205961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141320"/>
        <c:crosses val="autoZero"/>
        <c:crossBetween val="between"/>
      </c:valAx>
      <c:valAx>
        <c:axId val="2105421831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34119"/>
        <c:crosses val="max"/>
        <c:crossBetween val="between"/>
      </c:valAx>
      <c:catAx>
        <c:axId val="21054341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5421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2</xdr:row>
      <xdr:rowOff>85725</xdr:rowOff>
    </xdr:from>
    <xdr:to>
      <xdr:col>11</xdr:col>
      <xdr:colOff>123825</xdr:colOff>
      <xdr:row>16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45DD7B-F01C-86E8-2F06-DCF58264B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314325</xdr:colOff>
      <xdr:row>3</xdr:row>
      <xdr:rowOff>28575</xdr:rowOff>
    </xdr:from>
    <xdr:to>
      <xdr:col>14</xdr:col>
      <xdr:colOff>314325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tegory 1">
              <a:extLst>
                <a:ext uri="{FF2B5EF4-FFF2-40B4-BE49-F238E27FC236}">
                  <a16:creationId xmlns:a16="http://schemas.microsoft.com/office/drawing/2014/main" id="{3A4470AB-2B75-2D2E-9D95-2C38E356FA98}"/>
                </a:ext>
                <a:ext uri="{147F2762-F138-4A5C-976F-8EAC2B608ADB}">
                  <a16:predDERef xmlns:a16="http://schemas.microsoft.com/office/drawing/2014/main" pred="{9345DD7B-F01C-86E8-2F06-DCF58264B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4075" y="600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1000125</xdr:colOff>
      <xdr:row>7</xdr:row>
      <xdr:rowOff>171450</xdr:rowOff>
    </xdr:from>
    <xdr:to>
      <xdr:col>13</xdr:col>
      <xdr:colOff>19050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C46F8-0E75-91B3-853A-CD82225FE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200025</xdr:colOff>
      <xdr:row>0</xdr:row>
      <xdr:rowOff>0</xdr:rowOff>
    </xdr:from>
    <xdr:to>
      <xdr:col>5</xdr:col>
      <xdr:colOff>742950</xdr:colOff>
      <xdr:row>13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80BE523E-4FFA-A0A9-91B1-48D950AEBC87}"/>
                </a:ext>
                <a:ext uri="{147F2762-F138-4A5C-976F-8EAC2B608ADB}">
                  <a16:predDERef xmlns:a16="http://schemas.microsoft.com/office/drawing/2014/main" pred="{6A9C46F8-0E75-91B3-853A-CD82225FEB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925" y="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2</xdr:row>
      <xdr:rowOff>9525</xdr:rowOff>
    </xdr:from>
    <xdr:to>
      <xdr:col>11</xdr:col>
      <xdr:colOff>76200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89F0E-757D-5A73-7A1A-AB7CB2574CEC}"/>
            </a:ext>
            <a:ext uri="{147F2762-F138-4A5C-976F-8EAC2B608ADB}">
              <a16:predDERef xmlns:a16="http://schemas.microsoft.com/office/drawing/2014/main" pred="{E92B6CBB-BA7E-93F4-3D63-C92746936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400050</xdr:colOff>
      <xdr:row>10</xdr:row>
      <xdr:rowOff>28575</xdr:rowOff>
    </xdr:from>
    <xdr:to>
      <xdr:col>3</xdr:col>
      <xdr:colOff>1200150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C4679C6A-52AF-3EF2-2920-6F313C38EF58}"/>
                </a:ext>
                <a:ext uri="{147F2762-F138-4A5C-976F-8EAC2B608ADB}">
                  <a16:predDERef xmlns:a16="http://schemas.microsoft.com/office/drawing/2014/main" pred="{EC589F0E-757D-5A73-7A1A-AB7CB2574C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76475" y="1933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3</xdr:row>
      <xdr:rowOff>161925</xdr:rowOff>
    </xdr:from>
    <xdr:to>
      <xdr:col>6</xdr:col>
      <xdr:colOff>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0E8060-EEBB-4598-9C17-1C18E87AB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180975</xdr:colOff>
      <xdr:row>3</xdr:row>
      <xdr:rowOff>47625</xdr:rowOff>
    </xdr:from>
    <xdr:to>
      <xdr:col>14</xdr:col>
      <xdr:colOff>466725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454317-D378-4D15-9258-9DEB94A9CC7E}"/>
            </a:ext>
            <a:ext uri="{147F2762-F138-4A5C-976F-8EAC2B608ADB}">
              <a16:predDERef xmlns:a16="http://schemas.microsoft.com/office/drawing/2014/main" pred="{820E8060-EEBB-4598-9C17-1C18E87AB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9.366408796297" createdVersion="8" refreshedVersion="8" minRefreshableVersion="3" recordCount="500" xr:uid="{C2F645BF-3808-4C68-8262-60046073C702}">
  <cacheSource type="worksheet">
    <worksheetSource name="Table1"/>
  </cacheSource>
  <cacheFields count="11">
    <cacheField name="OrderID" numFmtId="0">
      <sharedItems containsSemiMixedTypes="0" containsString="0" containsNumber="1" containsInteger="1" minValue="1001" maxValue="1500"/>
    </cacheField>
    <cacheField name="OrderDate" numFmtId="0">
      <sharedItems/>
    </cacheField>
    <cacheField name="CustomerName" numFmtId="0">
      <sharedItems/>
    </cacheField>
    <cacheField name="Region" numFmtId="0">
      <sharedItems count="4">
        <s v="North"/>
        <s v="East"/>
        <s v="West"/>
        <s v="South"/>
      </sharedItems>
    </cacheField>
    <cacheField name="Product" numFmtId="0">
      <sharedItems count="8">
        <s v="Desk"/>
        <s v="Chair"/>
        <s v="Printer"/>
        <s v="Laptop"/>
        <s v="Mobile"/>
        <s v="Notebook"/>
        <s v="Headphones"/>
        <s v="Pen"/>
      </sharedItems>
    </cacheField>
    <cacheField name="Category" numFmtId="0">
      <sharedItems count="4">
        <s v="Furniture"/>
        <s v="Electronics"/>
        <s v="Stationery"/>
        <s v="Accessories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20" maxValue="55000"/>
    </cacheField>
    <cacheField name="TotalAmount" numFmtId="0">
      <sharedItems containsSemiMixedTypes="0" containsString="0" containsNumber="1" containsInteger="1" minValue="20" maxValue="275000"/>
    </cacheField>
    <cacheField name="PaymentMode" numFmtId="0">
      <sharedItems/>
    </cacheField>
    <cacheField name="Month_Name" numFmtId="0">
      <sharedItems count="12">
        <s v="Jan"/>
        <s v="Jul"/>
        <s v="Apr"/>
        <s v="Mar"/>
        <s v="Nov"/>
        <s v="Sep"/>
        <s v="Jun"/>
        <s v="May"/>
        <s v="Feb"/>
        <s v="Oct"/>
        <s v="Aug"/>
        <s v="Dec"/>
      </sharedItems>
    </cacheField>
  </cacheFields>
  <extLst>
    <ext xmlns:x14="http://schemas.microsoft.com/office/spreadsheetml/2009/9/main" uri="{725AE2AE-9491-48be-B2B4-4EB974FC3084}">
      <x14:pivotCacheDefinition pivotCacheId="21312641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950392939812" createdVersion="8" refreshedVersion="8" minRefreshableVersion="3" recordCount="500" xr:uid="{EB5A14CD-46B9-4FF5-9B82-2B4C09B6AE26}">
  <cacheSource type="worksheet">
    <worksheetSource name="Table14"/>
  </cacheSource>
  <cacheFields count="10">
    <cacheField name="OrderID" numFmtId="0">
      <sharedItems containsSemiMixedTypes="0" containsString="0" containsNumber="1" containsInteger="1" minValue="1001" maxValue="1500"/>
    </cacheField>
    <cacheField name="OrderDate" numFmtId="0">
      <sharedItems/>
    </cacheField>
    <cacheField name="Customer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Product" numFmtId="0">
      <sharedItems count="8">
        <s v="Laptop"/>
        <s v="Mobile"/>
        <s v="Printer"/>
        <s v="Desk"/>
        <s v="Chair"/>
        <s v="Headphones"/>
        <s v="Notebook"/>
        <s v="Pen"/>
      </sharedItems>
    </cacheField>
    <cacheField name="Category" numFmtId="0">
      <sharedItems count="4">
        <s v="Electronics"/>
        <s v="Furniture"/>
        <s v="Accessories"/>
        <s v="Stationery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20" maxValue="55000"/>
    </cacheField>
    <cacheField name="TotalAmount" numFmtId="0">
      <sharedItems containsSemiMixedTypes="0" containsString="0" containsNumber="1" containsInteger="1" minValue="20" maxValue="275000"/>
    </cacheField>
    <cacheField name="PaymentMode" numFmtId="0">
      <sharedItems/>
    </cacheField>
  </cacheFields>
  <extLst>
    <ext xmlns:x14="http://schemas.microsoft.com/office/spreadsheetml/2009/9/main" uri="{725AE2AE-9491-48be-B2B4-4EB974FC3084}">
      <x14:pivotCacheDefinition pivotCacheId="90974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s v="2024-01-23"/>
    <s v="Amit"/>
    <x v="0"/>
    <x v="0"/>
    <x v="0"/>
    <n v="3"/>
    <n v="8000"/>
    <n v="24000"/>
    <s v="Net Banking"/>
    <x v="0"/>
  </r>
  <r>
    <n v="1002"/>
    <s v="2024-07-16"/>
    <s v="Amit"/>
    <x v="1"/>
    <x v="1"/>
    <x v="0"/>
    <n v="3"/>
    <n v="4500"/>
    <n v="13500"/>
    <s v="Cash"/>
    <x v="1"/>
  </r>
  <r>
    <n v="1003"/>
    <s v="2024-01-20"/>
    <s v="Pooja"/>
    <x v="2"/>
    <x v="1"/>
    <x v="0"/>
    <n v="4"/>
    <n v="4500"/>
    <n v="18000"/>
    <s v="Cash"/>
    <x v="0"/>
  </r>
  <r>
    <n v="1004"/>
    <s v="2024-04-03"/>
    <s v="Neha"/>
    <x v="1"/>
    <x v="2"/>
    <x v="1"/>
    <n v="2"/>
    <n v="15000"/>
    <n v="30000"/>
    <s v="Cash"/>
    <x v="2"/>
  </r>
  <r>
    <n v="1005"/>
    <s v="2024-03-20"/>
    <s v="Rahul"/>
    <x v="3"/>
    <x v="2"/>
    <x v="1"/>
    <n v="5"/>
    <n v="15000"/>
    <n v="75000"/>
    <s v="Cash"/>
    <x v="3"/>
  </r>
  <r>
    <n v="1006"/>
    <s v="2024-11-24"/>
    <s v="Priya"/>
    <x v="1"/>
    <x v="3"/>
    <x v="1"/>
    <n v="4"/>
    <n v="55000"/>
    <n v="220000"/>
    <s v="UPI"/>
    <x v="4"/>
  </r>
  <r>
    <n v="1007"/>
    <s v="2024-09-16"/>
    <s v="Amit"/>
    <x v="3"/>
    <x v="1"/>
    <x v="0"/>
    <n v="3"/>
    <n v="4500"/>
    <n v="13500"/>
    <s v="Cash"/>
    <x v="5"/>
  </r>
  <r>
    <n v="1008"/>
    <s v="2024-03-04"/>
    <s v="Neha"/>
    <x v="1"/>
    <x v="1"/>
    <x v="0"/>
    <n v="1"/>
    <n v="4500"/>
    <n v="4500"/>
    <s v="Cash"/>
    <x v="3"/>
  </r>
  <r>
    <n v="1009"/>
    <s v="2024-01-18"/>
    <s v="Pooja"/>
    <x v="2"/>
    <x v="0"/>
    <x v="0"/>
    <n v="1"/>
    <n v="8000"/>
    <n v="8000"/>
    <s v="Card"/>
    <x v="0"/>
  </r>
  <r>
    <n v="1010"/>
    <s v="2024-06-07"/>
    <s v="Pooja"/>
    <x v="2"/>
    <x v="4"/>
    <x v="1"/>
    <n v="3"/>
    <n v="20000"/>
    <n v="60000"/>
    <s v="Net Banking"/>
    <x v="6"/>
  </r>
  <r>
    <n v="1011"/>
    <s v="2024-11-27"/>
    <s v="Vikas"/>
    <x v="0"/>
    <x v="5"/>
    <x v="2"/>
    <n v="5"/>
    <n v="150"/>
    <n v="750"/>
    <s v="Net Banking"/>
    <x v="4"/>
  </r>
  <r>
    <n v="1012"/>
    <s v="2024-01-30"/>
    <s v="Vikas"/>
    <x v="1"/>
    <x v="2"/>
    <x v="1"/>
    <n v="5"/>
    <n v="15000"/>
    <n v="75000"/>
    <s v="Cash"/>
    <x v="0"/>
  </r>
  <r>
    <n v="1013"/>
    <s v="2024-06-17"/>
    <s v="Anjali"/>
    <x v="3"/>
    <x v="2"/>
    <x v="1"/>
    <n v="5"/>
    <n v="15000"/>
    <n v="75000"/>
    <s v="Card"/>
    <x v="6"/>
  </r>
  <r>
    <n v="1014"/>
    <s v="2024-05-03"/>
    <s v="Anjali"/>
    <x v="3"/>
    <x v="0"/>
    <x v="0"/>
    <n v="2"/>
    <n v="8000"/>
    <n v="16000"/>
    <s v="Net Banking"/>
    <x v="7"/>
  </r>
  <r>
    <n v="1015"/>
    <s v="2024-06-07"/>
    <s v="Priya"/>
    <x v="0"/>
    <x v="4"/>
    <x v="1"/>
    <n v="1"/>
    <n v="20000"/>
    <n v="20000"/>
    <s v="UPI"/>
    <x v="6"/>
  </r>
  <r>
    <n v="1016"/>
    <s v="2024-02-18"/>
    <s v="Neha"/>
    <x v="0"/>
    <x v="6"/>
    <x v="3"/>
    <n v="4"/>
    <n v="2000"/>
    <n v="8000"/>
    <s v="Cash"/>
    <x v="8"/>
  </r>
  <r>
    <n v="1017"/>
    <s v="2024-05-12"/>
    <s v="Priya"/>
    <x v="2"/>
    <x v="1"/>
    <x v="0"/>
    <n v="2"/>
    <n v="4500"/>
    <n v="9000"/>
    <s v="UPI"/>
    <x v="7"/>
  </r>
  <r>
    <n v="1018"/>
    <s v="2024-11-28"/>
    <s v="Ravi"/>
    <x v="1"/>
    <x v="2"/>
    <x v="1"/>
    <n v="4"/>
    <n v="15000"/>
    <n v="60000"/>
    <s v="Card"/>
    <x v="4"/>
  </r>
  <r>
    <n v="1019"/>
    <s v="2024-06-11"/>
    <s v="Vikas"/>
    <x v="2"/>
    <x v="0"/>
    <x v="0"/>
    <n v="1"/>
    <n v="8000"/>
    <n v="8000"/>
    <s v="Cash"/>
    <x v="6"/>
  </r>
  <r>
    <n v="1020"/>
    <s v="2024-10-17"/>
    <s v="Pooja"/>
    <x v="1"/>
    <x v="7"/>
    <x v="2"/>
    <n v="4"/>
    <n v="20"/>
    <n v="80"/>
    <s v="UPI"/>
    <x v="9"/>
  </r>
  <r>
    <n v="1021"/>
    <s v="2024-01-19"/>
    <s v="Neha"/>
    <x v="3"/>
    <x v="3"/>
    <x v="1"/>
    <n v="3"/>
    <n v="55000"/>
    <n v="165000"/>
    <s v="UPI"/>
    <x v="0"/>
  </r>
  <r>
    <n v="1022"/>
    <s v="2024-02-20"/>
    <s v="Suresh"/>
    <x v="0"/>
    <x v="6"/>
    <x v="3"/>
    <n v="2"/>
    <n v="2000"/>
    <n v="4000"/>
    <s v="Net Banking"/>
    <x v="8"/>
  </r>
  <r>
    <n v="1023"/>
    <s v="2024-04-02"/>
    <s v="Priya"/>
    <x v="1"/>
    <x v="7"/>
    <x v="2"/>
    <n v="2"/>
    <n v="20"/>
    <n v="40"/>
    <s v="Card"/>
    <x v="2"/>
  </r>
  <r>
    <n v="1024"/>
    <s v="2024-07-11"/>
    <s v="Anjali"/>
    <x v="3"/>
    <x v="2"/>
    <x v="1"/>
    <n v="1"/>
    <n v="15000"/>
    <n v="15000"/>
    <s v="Card"/>
    <x v="1"/>
  </r>
  <r>
    <n v="1025"/>
    <s v="2024-10-28"/>
    <s v="Pooja"/>
    <x v="1"/>
    <x v="2"/>
    <x v="1"/>
    <n v="1"/>
    <n v="15000"/>
    <n v="15000"/>
    <s v="Cash"/>
    <x v="9"/>
  </r>
  <r>
    <n v="1026"/>
    <s v="2024-02-01"/>
    <s v="Rahul"/>
    <x v="3"/>
    <x v="7"/>
    <x v="2"/>
    <n v="5"/>
    <n v="20"/>
    <n v="100"/>
    <s v="Card"/>
    <x v="8"/>
  </r>
  <r>
    <n v="1027"/>
    <s v="2024-07-05"/>
    <s v="Rahul"/>
    <x v="0"/>
    <x v="3"/>
    <x v="1"/>
    <n v="2"/>
    <n v="55000"/>
    <n v="110000"/>
    <s v="Net Banking"/>
    <x v="1"/>
  </r>
  <r>
    <n v="1028"/>
    <s v="2024-10-05"/>
    <s v="Ravi"/>
    <x v="3"/>
    <x v="6"/>
    <x v="3"/>
    <n v="3"/>
    <n v="2000"/>
    <n v="6000"/>
    <s v="Net Banking"/>
    <x v="9"/>
  </r>
  <r>
    <n v="1029"/>
    <s v="2024-04-10"/>
    <s v="Pooja"/>
    <x v="2"/>
    <x v="6"/>
    <x v="3"/>
    <n v="5"/>
    <n v="2000"/>
    <n v="10000"/>
    <s v="Card"/>
    <x v="2"/>
  </r>
  <r>
    <n v="1030"/>
    <s v="2024-04-25"/>
    <s v="Amit"/>
    <x v="0"/>
    <x v="4"/>
    <x v="1"/>
    <n v="1"/>
    <n v="20000"/>
    <n v="20000"/>
    <s v="Card"/>
    <x v="2"/>
  </r>
  <r>
    <n v="1031"/>
    <s v="2024-09-27"/>
    <s v="Priya"/>
    <x v="2"/>
    <x v="7"/>
    <x v="2"/>
    <n v="5"/>
    <n v="20"/>
    <n v="100"/>
    <s v="Cash"/>
    <x v="5"/>
  </r>
  <r>
    <n v="1032"/>
    <s v="2024-03-22"/>
    <s v="Kiran"/>
    <x v="3"/>
    <x v="2"/>
    <x v="1"/>
    <n v="4"/>
    <n v="15000"/>
    <n v="60000"/>
    <s v="UPI"/>
    <x v="3"/>
  </r>
  <r>
    <n v="1033"/>
    <s v="2024-08-25"/>
    <s v="Ravi"/>
    <x v="2"/>
    <x v="7"/>
    <x v="2"/>
    <n v="2"/>
    <n v="20"/>
    <n v="40"/>
    <s v="Cash"/>
    <x v="10"/>
  </r>
  <r>
    <n v="1034"/>
    <s v="2024-12-08"/>
    <s v="Pooja"/>
    <x v="1"/>
    <x v="1"/>
    <x v="0"/>
    <n v="3"/>
    <n v="4500"/>
    <n v="13500"/>
    <s v="UPI"/>
    <x v="11"/>
  </r>
  <r>
    <n v="1035"/>
    <s v="2024-10-29"/>
    <s v="Pooja"/>
    <x v="2"/>
    <x v="5"/>
    <x v="2"/>
    <n v="3"/>
    <n v="150"/>
    <n v="450"/>
    <s v="UPI"/>
    <x v="9"/>
  </r>
  <r>
    <n v="1036"/>
    <s v="2024-10-01"/>
    <s v="Neha"/>
    <x v="2"/>
    <x v="6"/>
    <x v="3"/>
    <n v="4"/>
    <n v="2000"/>
    <n v="8000"/>
    <s v="Net Banking"/>
    <x v="9"/>
  </r>
  <r>
    <n v="1037"/>
    <s v="2024-07-26"/>
    <s v="Priya"/>
    <x v="0"/>
    <x v="7"/>
    <x v="2"/>
    <n v="4"/>
    <n v="20"/>
    <n v="80"/>
    <s v="Card"/>
    <x v="1"/>
  </r>
  <r>
    <n v="1038"/>
    <s v="2024-11-19"/>
    <s v="Pooja"/>
    <x v="0"/>
    <x v="5"/>
    <x v="2"/>
    <n v="4"/>
    <n v="150"/>
    <n v="600"/>
    <s v="Net Banking"/>
    <x v="4"/>
  </r>
  <r>
    <n v="1039"/>
    <s v="2024-01-20"/>
    <s v="Anjali"/>
    <x v="2"/>
    <x v="4"/>
    <x v="1"/>
    <n v="1"/>
    <n v="20000"/>
    <n v="20000"/>
    <s v="Card"/>
    <x v="0"/>
  </r>
  <r>
    <n v="1040"/>
    <s v="2024-07-04"/>
    <s v="Vikas"/>
    <x v="0"/>
    <x v="0"/>
    <x v="0"/>
    <n v="5"/>
    <n v="8000"/>
    <n v="40000"/>
    <s v="Card"/>
    <x v="1"/>
  </r>
  <r>
    <n v="1041"/>
    <s v="2024-11-26"/>
    <s v="Kiran"/>
    <x v="0"/>
    <x v="1"/>
    <x v="0"/>
    <n v="4"/>
    <n v="4500"/>
    <n v="18000"/>
    <s v="Cash"/>
    <x v="4"/>
  </r>
  <r>
    <n v="1042"/>
    <s v="2024-05-26"/>
    <s v="Ravi"/>
    <x v="3"/>
    <x v="2"/>
    <x v="1"/>
    <n v="1"/>
    <n v="15000"/>
    <n v="15000"/>
    <s v="UPI"/>
    <x v="7"/>
  </r>
  <r>
    <n v="1043"/>
    <s v="2024-03-19"/>
    <s v="Suresh"/>
    <x v="2"/>
    <x v="1"/>
    <x v="0"/>
    <n v="5"/>
    <n v="4500"/>
    <n v="22500"/>
    <s v="Card"/>
    <x v="3"/>
  </r>
  <r>
    <n v="1044"/>
    <s v="2024-11-04"/>
    <s v="Suresh"/>
    <x v="0"/>
    <x v="7"/>
    <x v="2"/>
    <n v="2"/>
    <n v="20"/>
    <n v="40"/>
    <s v="Net Banking"/>
    <x v="4"/>
  </r>
  <r>
    <n v="1045"/>
    <s v="2024-07-23"/>
    <s v="Amit"/>
    <x v="2"/>
    <x v="7"/>
    <x v="2"/>
    <n v="4"/>
    <n v="20"/>
    <n v="80"/>
    <s v="Card"/>
    <x v="1"/>
  </r>
  <r>
    <n v="1046"/>
    <s v="2024-11-07"/>
    <s v="Rahul"/>
    <x v="2"/>
    <x v="2"/>
    <x v="1"/>
    <n v="5"/>
    <n v="15000"/>
    <n v="75000"/>
    <s v="Cash"/>
    <x v="4"/>
  </r>
  <r>
    <n v="1047"/>
    <s v="2024-09-20"/>
    <s v="Anjali"/>
    <x v="1"/>
    <x v="1"/>
    <x v="0"/>
    <n v="2"/>
    <n v="4500"/>
    <n v="9000"/>
    <s v="Net Banking"/>
    <x v="5"/>
  </r>
  <r>
    <n v="1048"/>
    <s v="2024-03-21"/>
    <s v="Pooja"/>
    <x v="2"/>
    <x v="5"/>
    <x v="2"/>
    <n v="5"/>
    <n v="150"/>
    <n v="750"/>
    <s v="Cash"/>
    <x v="3"/>
  </r>
  <r>
    <n v="1049"/>
    <s v="2024-07-15"/>
    <s v="Vikas"/>
    <x v="3"/>
    <x v="4"/>
    <x v="1"/>
    <n v="4"/>
    <n v="20000"/>
    <n v="80000"/>
    <s v="Net Banking"/>
    <x v="1"/>
  </r>
  <r>
    <n v="1050"/>
    <s v="2024-09-05"/>
    <s v="Ravi"/>
    <x v="0"/>
    <x v="3"/>
    <x v="1"/>
    <n v="5"/>
    <n v="55000"/>
    <n v="275000"/>
    <s v="Cash"/>
    <x v="5"/>
  </r>
  <r>
    <n v="1051"/>
    <s v="2024-12-19"/>
    <s v="Rahul"/>
    <x v="3"/>
    <x v="4"/>
    <x v="1"/>
    <n v="1"/>
    <n v="20000"/>
    <n v="20000"/>
    <s v="Cash"/>
    <x v="11"/>
  </r>
  <r>
    <n v="1052"/>
    <s v="2024-09-01"/>
    <s v="Anjali"/>
    <x v="1"/>
    <x v="3"/>
    <x v="1"/>
    <n v="2"/>
    <n v="55000"/>
    <n v="110000"/>
    <s v="Card"/>
    <x v="5"/>
  </r>
  <r>
    <n v="1053"/>
    <s v="2024-07-26"/>
    <s v="Anjali"/>
    <x v="0"/>
    <x v="5"/>
    <x v="2"/>
    <n v="4"/>
    <n v="150"/>
    <n v="600"/>
    <s v="Net Banking"/>
    <x v="1"/>
  </r>
  <r>
    <n v="1054"/>
    <s v="2024-10-25"/>
    <s v="Neha"/>
    <x v="1"/>
    <x v="3"/>
    <x v="1"/>
    <n v="5"/>
    <n v="55000"/>
    <n v="275000"/>
    <s v="UPI"/>
    <x v="9"/>
  </r>
  <r>
    <n v="1055"/>
    <s v="2024-12-19"/>
    <s v="Rahul"/>
    <x v="0"/>
    <x v="2"/>
    <x v="1"/>
    <n v="2"/>
    <n v="15000"/>
    <n v="30000"/>
    <s v="Cash"/>
    <x v="11"/>
  </r>
  <r>
    <n v="1056"/>
    <s v="2024-12-04"/>
    <s v="Amit"/>
    <x v="0"/>
    <x v="3"/>
    <x v="1"/>
    <n v="5"/>
    <n v="55000"/>
    <n v="275000"/>
    <s v="UPI"/>
    <x v="11"/>
  </r>
  <r>
    <n v="1057"/>
    <s v="2024-11-07"/>
    <s v="Ravi"/>
    <x v="0"/>
    <x v="1"/>
    <x v="0"/>
    <n v="4"/>
    <n v="4500"/>
    <n v="18000"/>
    <s v="Net Banking"/>
    <x v="4"/>
  </r>
  <r>
    <n v="1058"/>
    <s v="2024-02-21"/>
    <s v="Amit"/>
    <x v="1"/>
    <x v="6"/>
    <x v="3"/>
    <n v="1"/>
    <n v="2000"/>
    <n v="2000"/>
    <s v="UPI"/>
    <x v="8"/>
  </r>
  <r>
    <n v="1059"/>
    <s v="2024-07-05"/>
    <s v="Anjali"/>
    <x v="1"/>
    <x v="6"/>
    <x v="3"/>
    <n v="1"/>
    <n v="2000"/>
    <n v="2000"/>
    <s v="Cash"/>
    <x v="1"/>
  </r>
  <r>
    <n v="1060"/>
    <s v="2024-05-19"/>
    <s v="Amit"/>
    <x v="2"/>
    <x v="4"/>
    <x v="1"/>
    <n v="5"/>
    <n v="20000"/>
    <n v="100000"/>
    <s v="Net Banking"/>
    <x v="7"/>
  </r>
  <r>
    <n v="1061"/>
    <s v="2024-10-13"/>
    <s v="Anjali"/>
    <x v="1"/>
    <x v="7"/>
    <x v="2"/>
    <n v="1"/>
    <n v="20"/>
    <n v="20"/>
    <s v="Cash"/>
    <x v="9"/>
  </r>
  <r>
    <n v="1062"/>
    <s v="2024-09-03"/>
    <s v="Neha"/>
    <x v="3"/>
    <x v="5"/>
    <x v="2"/>
    <n v="1"/>
    <n v="150"/>
    <n v="150"/>
    <s v="Cash"/>
    <x v="5"/>
  </r>
  <r>
    <n v="1063"/>
    <s v="2024-09-24"/>
    <s v="Kiran"/>
    <x v="1"/>
    <x v="5"/>
    <x v="2"/>
    <n v="4"/>
    <n v="150"/>
    <n v="600"/>
    <s v="Cash"/>
    <x v="5"/>
  </r>
  <r>
    <n v="1064"/>
    <s v="2024-11-05"/>
    <s v="Suresh"/>
    <x v="0"/>
    <x v="6"/>
    <x v="3"/>
    <n v="5"/>
    <n v="2000"/>
    <n v="10000"/>
    <s v="UPI"/>
    <x v="4"/>
  </r>
  <r>
    <n v="1065"/>
    <s v="2024-09-18"/>
    <s v="Rahul"/>
    <x v="2"/>
    <x v="4"/>
    <x v="1"/>
    <n v="2"/>
    <n v="20000"/>
    <n v="40000"/>
    <s v="Cash"/>
    <x v="5"/>
  </r>
  <r>
    <n v="1066"/>
    <s v="2024-03-28"/>
    <s v="Ravi"/>
    <x v="0"/>
    <x v="3"/>
    <x v="1"/>
    <n v="2"/>
    <n v="55000"/>
    <n v="110000"/>
    <s v="Card"/>
    <x v="3"/>
  </r>
  <r>
    <n v="1067"/>
    <s v="2024-03-18"/>
    <s v="Kiran"/>
    <x v="0"/>
    <x v="5"/>
    <x v="2"/>
    <n v="5"/>
    <n v="150"/>
    <n v="750"/>
    <s v="UPI"/>
    <x v="3"/>
  </r>
  <r>
    <n v="1068"/>
    <s v="2024-01-05"/>
    <s v="Ravi"/>
    <x v="3"/>
    <x v="6"/>
    <x v="3"/>
    <n v="5"/>
    <n v="2000"/>
    <n v="10000"/>
    <s v="UPI"/>
    <x v="0"/>
  </r>
  <r>
    <n v="1069"/>
    <s v="2024-10-19"/>
    <s v="Priya"/>
    <x v="0"/>
    <x v="3"/>
    <x v="1"/>
    <n v="2"/>
    <n v="55000"/>
    <n v="110000"/>
    <s v="Card"/>
    <x v="9"/>
  </r>
  <r>
    <n v="1070"/>
    <s v="2024-12-29"/>
    <s v="Pooja"/>
    <x v="3"/>
    <x v="7"/>
    <x v="2"/>
    <n v="1"/>
    <n v="20"/>
    <n v="20"/>
    <s v="UPI"/>
    <x v="11"/>
  </r>
  <r>
    <n v="1071"/>
    <s v="2024-05-23"/>
    <s v="Ravi"/>
    <x v="2"/>
    <x v="6"/>
    <x v="3"/>
    <n v="5"/>
    <n v="2000"/>
    <n v="10000"/>
    <s v="Net Banking"/>
    <x v="7"/>
  </r>
  <r>
    <n v="1072"/>
    <s v="2024-02-11"/>
    <s v="Kiran"/>
    <x v="0"/>
    <x v="7"/>
    <x v="2"/>
    <n v="3"/>
    <n v="20"/>
    <n v="60"/>
    <s v="Card"/>
    <x v="8"/>
  </r>
  <r>
    <n v="1073"/>
    <s v="2024-03-23"/>
    <s v="Kiran"/>
    <x v="2"/>
    <x v="3"/>
    <x v="1"/>
    <n v="1"/>
    <n v="55000"/>
    <n v="55000"/>
    <s v="Net Banking"/>
    <x v="3"/>
  </r>
  <r>
    <n v="1074"/>
    <s v="2024-01-12"/>
    <s v="Amit"/>
    <x v="1"/>
    <x v="7"/>
    <x v="2"/>
    <n v="3"/>
    <n v="20"/>
    <n v="60"/>
    <s v="Net Banking"/>
    <x v="0"/>
  </r>
  <r>
    <n v="1075"/>
    <s v="2024-11-23"/>
    <s v="Anjali"/>
    <x v="1"/>
    <x v="0"/>
    <x v="0"/>
    <n v="4"/>
    <n v="8000"/>
    <n v="32000"/>
    <s v="Card"/>
    <x v="4"/>
  </r>
  <r>
    <n v="1076"/>
    <s v="2024-05-10"/>
    <s v="Rahul"/>
    <x v="3"/>
    <x v="1"/>
    <x v="0"/>
    <n v="1"/>
    <n v="4500"/>
    <n v="4500"/>
    <s v="Net Banking"/>
    <x v="7"/>
  </r>
  <r>
    <n v="1077"/>
    <s v="2024-09-20"/>
    <s v="Pooja"/>
    <x v="0"/>
    <x v="2"/>
    <x v="1"/>
    <n v="5"/>
    <n v="15000"/>
    <n v="75000"/>
    <s v="Card"/>
    <x v="5"/>
  </r>
  <r>
    <n v="1078"/>
    <s v="2024-11-02"/>
    <s v="Suresh"/>
    <x v="2"/>
    <x v="7"/>
    <x v="2"/>
    <n v="1"/>
    <n v="20"/>
    <n v="20"/>
    <s v="Cash"/>
    <x v="4"/>
  </r>
  <r>
    <n v="1079"/>
    <s v="2024-02-10"/>
    <s v="Neha"/>
    <x v="2"/>
    <x v="4"/>
    <x v="1"/>
    <n v="5"/>
    <n v="20000"/>
    <n v="100000"/>
    <s v="Net Banking"/>
    <x v="8"/>
  </r>
  <r>
    <n v="1080"/>
    <s v="2024-05-12"/>
    <s v="Ravi"/>
    <x v="0"/>
    <x v="1"/>
    <x v="0"/>
    <n v="4"/>
    <n v="4500"/>
    <n v="18000"/>
    <s v="Net Banking"/>
    <x v="7"/>
  </r>
  <r>
    <n v="1081"/>
    <s v="2024-07-27"/>
    <s v="Rahul"/>
    <x v="2"/>
    <x v="6"/>
    <x v="3"/>
    <n v="4"/>
    <n v="2000"/>
    <n v="8000"/>
    <s v="UPI"/>
    <x v="1"/>
  </r>
  <r>
    <n v="1082"/>
    <s v="2024-01-30"/>
    <s v="Priya"/>
    <x v="0"/>
    <x v="1"/>
    <x v="0"/>
    <n v="1"/>
    <n v="4500"/>
    <n v="4500"/>
    <s v="Card"/>
    <x v="0"/>
  </r>
  <r>
    <n v="1083"/>
    <s v="2024-02-15"/>
    <s v="Vikas"/>
    <x v="1"/>
    <x v="5"/>
    <x v="2"/>
    <n v="5"/>
    <n v="150"/>
    <n v="750"/>
    <s v="Card"/>
    <x v="8"/>
  </r>
  <r>
    <n v="1084"/>
    <s v="2024-03-21"/>
    <s v="Vikas"/>
    <x v="1"/>
    <x v="4"/>
    <x v="1"/>
    <n v="4"/>
    <n v="20000"/>
    <n v="80000"/>
    <s v="Card"/>
    <x v="3"/>
  </r>
  <r>
    <n v="1085"/>
    <s v="2024-01-16"/>
    <s v="Ravi"/>
    <x v="1"/>
    <x v="0"/>
    <x v="0"/>
    <n v="1"/>
    <n v="8000"/>
    <n v="8000"/>
    <s v="Card"/>
    <x v="0"/>
  </r>
  <r>
    <n v="1086"/>
    <s v="2024-02-14"/>
    <s v="Kiran"/>
    <x v="2"/>
    <x v="1"/>
    <x v="0"/>
    <n v="3"/>
    <n v="4500"/>
    <n v="13500"/>
    <s v="Net Banking"/>
    <x v="8"/>
  </r>
  <r>
    <n v="1087"/>
    <s v="2024-05-05"/>
    <s v="Suresh"/>
    <x v="3"/>
    <x v="0"/>
    <x v="0"/>
    <n v="4"/>
    <n v="8000"/>
    <n v="32000"/>
    <s v="UPI"/>
    <x v="7"/>
  </r>
  <r>
    <n v="1088"/>
    <s v="2024-07-24"/>
    <s v="Anjali"/>
    <x v="3"/>
    <x v="1"/>
    <x v="0"/>
    <n v="3"/>
    <n v="4500"/>
    <n v="13500"/>
    <s v="Card"/>
    <x v="1"/>
  </r>
  <r>
    <n v="1089"/>
    <s v="2024-12-29"/>
    <s v="Ravi"/>
    <x v="0"/>
    <x v="3"/>
    <x v="1"/>
    <n v="2"/>
    <n v="55000"/>
    <n v="110000"/>
    <s v="UPI"/>
    <x v="11"/>
  </r>
  <r>
    <n v="1090"/>
    <s v="2024-01-14"/>
    <s v="Ravi"/>
    <x v="3"/>
    <x v="0"/>
    <x v="0"/>
    <n v="3"/>
    <n v="8000"/>
    <n v="24000"/>
    <s v="Card"/>
    <x v="0"/>
  </r>
  <r>
    <n v="1091"/>
    <s v="2024-08-06"/>
    <s v="Vikas"/>
    <x v="2"/>
    <x v="1"/>
    <x v="0"/>
    <n v="2"/>
    <n v="4500"/>
    <n v="9000"/>
    <s v="Cash"/>
    <x v="10"/>
  </r>
  <r>
    <n v="1092"/>
    <s v="2024-02-28"/>
    <s v="Pooja"/>
    <x v="1"/>
    <x v="6"/>
    <x v="3"/>
    <n v="1"/>
    <n v="2000"/>
    <n v="2000"/>
    <s v="UPI"/>
    <x v="8"/>
  </r>
  <r>
    <n v="1093"/>
    <s v="2024-12-17"/>
    <s v="Amit"/>
    <x v="0"/>
    <x v="4"/>
    <x v="1"/>
    <n v="2"/>
    <n v="20000"/>
    <n v="40000"/>
    <s v="Net Banking"/>
    <x v="11"/>
  </r>
  <r>
    <n v="1094"/>
    <s v="2024-07-09"/>
    <s v="Amit"/>
    <x v="3"/>
    <x v="4"/>
    <x v="1"/>
    <n v="1"/>
    <n v="20000"/>
    <n v="20000"/>
    <s v="UPI"/>
    <x v="1"/>
  </r>
  <r>
    <n v="1095"/>
    <s v="2024-01-09"/>
    <s v="Vikas"/>
    <x v="1"/>
    <x v="7"/>
    <x v="2"/>
    <n v="1"/>
    <n v="20"/>
    <n v="20"/>
    <s v="Cash"/>
    <x v="0"/>
  </r>
  <r>
    <n v="1096"/>
    <s v="2024-07-22"/>
    <s v="Neha"/>
    <x v="0"/>
    <x v="3"/>
    <x v="1"/>
    <n v="3"/>
    <n v="55000"/>
    <n v="165000"/>
    <s v="Net Banking"/>
    <x v="1"/>
  </r>
  <r>
    <n v="1097"/>
    <s v="2024-05-26"/>
    <s v="Pooja"/>
    <x v="3"/>
    <x v="5"/>
    <x v="2"/>
    <n v="5"/>
    <n v="150"/>
    <n v="750"/>
    <s v="Net Banking"/>
    <x v="7"/>
  </r>
  <r>
    <n v="1098"/>
    <s v="2024-06-13"/>
    <s v="Ravi"/>
    <x v="1"/>
    <x v="7"/>
    <x v="2"/>
    <n v="4"/>
    <n v="20"/>
    <n v="80"/>
    <s v="Net Banking"/>
    <x v="6"/>
  </r>
  <r>
    <n v="1099"/>
    <s v="2024-11-23"/>
    <s v="Rahul"/>
    <x v="0"/>
    <x v="2"/>
    <x v="1"/>
    <n v="5"/>
    <n v="15000"/>
    <n v="75000"/>
    <s v="Net Banking"/>
    <x v="4"/>
  </r>
  <r>
    <n v="1100"/>
    <s v="2024-03-02"/>
    <s v="Ravi"/>
    <x v="0"/>
    <x v="7"/>
    <x v="2"/>
    <n v="2"/>
    <n v="20"/>
    <n v="40"/>
    <s v="Card"/>
    <x v="3"/>
  </r>
  <r>
    <n v="1101"/>
    <s v="2024-11-13"/>
    <s v="Vikas"/>
    <x v="2"/>
    <x v="7"/>
    <x v="2"/>
    <n v="3"/>
    <n v="20"/>
    <n v="60"/>
    <s v="Net Banking"/>
    <x v="4"/>
  </r>
  <r>
    <n v="1102"/>
    <s v="2024-06-04"/>
    <s v="Anjali"/>
    <x v="0"/>
    <x v="2"/>
    <x v="1"/>
    <n v="3"/>
    <n v="15000"/>
    <n v="45000"/>
    <s v="Cash"/>
    <x v="6"/>
  </r>
  <r>
    <n v="1103"/>
    <s v="2024-03-02"/>
    <s v="Amit"/>
    <x v="2"/>
    <x v="1"/>
    <x v="0"/>
    <n v="3"/>
    <n v="4500"/>
    <n v="13500"/>
    <s v="Net Banking"/>
    <x v="3"/>
  </r>
  <r>
    <n v="1104"/>
    <s v="2024-12-26"/>
    <s v="Ravi"/>
    <x v="1"/>
    <x v="2"/>
    <x v="1"/>
    <n v="5"/>
    <n v="15000"/>
    <n v="75000"/>
    <s v="Net Banking"/>
    <x v="11"/>
  </r>
  <r>
    <n v="1105"/>
    <s v="2024-03-17"/>
    <s v="Kiran"/>
    <x v="0"/>
    <x v="5"/>
    <x v="2"/>
    <n v="5"/>
    <n v="150"/>
    <n v="750"/>
    <s v="Cash"/>
    <x v="3"/>
  </r>
  <r>
    <n v="1106"/>
    <s v="2024-10-20"/>
    <s v="Amit"/>
    <x v="1"/>
    <x v="4"/>
    <x v="1"/>
    <n v="4"/>
    <n v="20000"/>
    <n v="80000"/>
    <s v="Cash"/>
    <x v="9"/>
  </r>
  <r>
    <n v="1107"/>
    <s v="2024-01-08"/>
    <s v="Kiran"/>
    <x v="3"/>
    <x v="1"/>
    <x v="0"/>
    <n v="1"/>
    <n v="4500"/>
    <n v="4500"/>
    <s v="Net Banking"/>
    <x v="0"/>
  </r>
  <r>
    <n v="1108"/>
    <s v="2024-05-06"/>
    <s v="Neha"/>
    <x v="3"/>
    <x v="4"/>
    <x v="1"/>
    <n v="5"/>
    <n v="20000"/>
    <n v="100000"/>
    <s v="Card"/>
    <x v="7"/>
  </r>
  <r>
    <n v="1109"/>
    <s v="2024-04-07"/>
    <s v="Pooja"/>
    <x v="2"/>
    <x v="1"/>
    <x v="0"/>
    <n v="4"/>
    <n v="4500"/>
    <n v="18000"/>
    <s v="UPI"/>
    <x v="2"/>
  </r>
  <r>
    <n v="1110"/>
    <s v="2024-10-09"/>
    <s v="Vikas"/>
    <x v="2"/>
    <x v="1"/>
    <x v="0"/>
    <n v="5"/>
    <n v="4500"/>
    <n v="22500"/>
    <s v="UPI"/>
    <x v="9"/>
  </r>
  <r>
    <n v="1111"/>
    <s v="2024-10-08"/>
    <s v="Neha"/>
    <x v="3"/>
    <x v="4"/>
    <x v="1"/>
    <n v="4"/>
    <n v="20000"/>
    <n v="80000"/>
    <s v="Cash"/>
    <x v="9"/>
  </r>
  <r>
    <n v="1112"/>
    <s v="2024-12-26"/>
    <s v="Suresh"/>
    <x v="1"/>
    <x v="5"/>
    <x v="2"/>
    <n v="4"/>
    <n v="150"/>
    <n v="600"/>
    <s v="Card"/>
    <x v="11"/>
  </r>
  <r>
    <n v="1113"/>
    <s v="2024-12-20"/>
    <s v="Neha"/>
    <x v="2"/>
    <x v="4"/>
    <x v="1"/>
    <n v="2"/>
    <n v="20000"/>
    <n v="40000"/>
    <s v="Cash"/>
    <x v="11"/>
  </r>
  <r>
    <n v="1114"/>
    <s v="2024-02-19"/>
    <s v="Suresh"/>
    <x v="0"/>
    <x v="7"/>
    <x v="2"/>
    <n v="4"/>
    <n v="20"/>
    <n v="80"/>
    <s v="Card"/>
    <x v="8"/>
  </r>
  <r>
    <n v="1115"/>
    <s v="2024-05-06"/>
    <s v="Neha"/>
    <x v="0"/>
    <x v="7"/>
    <x v="2"/>
    <n v="3"/>
    <n v="20"/>
    <n v="60"/>
    <s v="Card"/>
    <x v="7"/>
  </r>
  <r>
    <n v="1116"/>
    <s v="2024-07-27"/>
    <s v="Anjali"/>
    <x v="2"/>
    <x v="3"/>
    <x v="1"/>
    <n v="4"/>
    <n v="55000"/>
    <n v="220000"/>
    <s v="Card"/>
    <x v="1"/>
  </r>
  <r>
    <n v="1117"/>
    <s v="2024-06-04"/>
    <s v="Kiran"/>
    <x v="2"/>
    <x v="1"/>
    <x v="0"/>
    <n v="2"/>
    <n v="4500"/>
    <n v="9000"/>
    <s v="Card"/>
    <x v="6"/>
  </r>
  <r>
    <n v="1118"/>
    <s v="2024-10-09"/>
    <s v="Kiran"/>
    <x v="3"/>
    <x v="7"/>
    <x v="2"/>
    <n v="4"/>
    <n v="20"/>
    <n v="80"/>
    <s v="Card"/>
    <x v="9"/>
  </r>
  <r>
    <n v="1119"/>
    <s v="2024-01-15"/>
    <s v="Suresh"/>
    <x v="1"/>
    <x v="3"/>
    <x v="1"/>
    <n v="3"/>
    <n v="55000"/>
    <n v="165000"/>
    <s v="Cash"/>
    <x v="0"/>
  </r>
  <r>
    <n v="1120"/>
    <s v="2024-08-02"/>
    <s v="Suresh"/>
    <x v="0"/>
    <x v="1"/>
    <x v="0"/>
    <n v="4"/>
    <n v="4500"/>
    <n v="18000"/>
    <s v="Card"/>
    <x v="10"/>
  </r>
  <r>
    <n v="1121"/>
    <s v="2024-01-20"/>
    <s v="Priya"/>
    <x v="3"/>
    <x v="2"/>
    <x v="1"/>
    <n v="3"/>
    <n v="15000"/>
    <n v="45000"/>
    <s v="UPI"/>
    <x v="0"/>
  </r>
  <r>
    <n v="1122"/>
    <s v="2024-02-16"/>
    <s v="Ravi"/>
    <x v="0"/>
    <x v="6"/>
    <x v="3"/>
    <n v="5"/>
    <n v="2000"/>
    <n v="10000"/>
    <s v="Net Banking"/>
    <x v="8"/>
  </r>
  <r>
    <n v="1123"/>
    <s v="2024-07-31"/>
    <s v="Ravi"/>
    <x v="2"/>
    <x v="2"/>
    <x v="1"/>
    <n v="5"/>
    <n v="15000"/>
    <n v="75000"/>
    <s v="Card"/>
    <x v="1"/>
  </r>
  <r>
    <n v="1124"/>
    <s v="2024-10-10"/>
    <s v="Rahul"/>
    <x v="0"/>
    <x v="7"/>
    <x v="2"/>
    <n v="3"/>
    <n v="20"/>
    <n v="60"/>
    <s v="Net Banking"/>
    <x v="9"/>
  </r>
  <r>
    <n v="1125"/>
    <s v="2024-09-22"/>
    <s v="Anjali"/>
    <x v="1"/>
    <x v="0"/>
    <x v="0"/>
    <n v="5"/>
    <n v="8000"/>
    <n v="40000"/>
    <s v="Net Banking"/>
    <x v="5"/>
  </r>
  <r>
    <n v="1126"/>
    <s v="2024-03-30"/>
    <s v="Priya"/>
    <x v="1"/>
    <x v="2"/>
    <x v="1"/>
    <n v="5"/>
    <n v="15000"/>
    <n v="75000"/>
    <s v="Card"/>
    <x v="3"/>
  </r>
  <r>
    <n v="1127"/>
    <s v="2024-01-22"/>
    <s v="Kiran"/>
    <x v="1"/>
    <x v="1"/>
    <x v="0"/>
    <n v="5"/>
    <n v="4500"/>
    <n v="22500"/>
    <s v="Card"/>
    <x v="0"/>
  </r>
  <r>
    <n v="1128"/>
    <s v="2024-02-20"/>
    <s v="Amit"/>
    <x v="2"/>
    <x v="7"/>
    <x v="2"/>
    <n v="2"/>
    <n v="20"/>
    <n v="40"/>
    <s v="UPI"/>
    <x v="8"/>
  </r>
  <r>
    <n v="1129"/>
    <s v="2024-02-16"/>
    <s v="Anjali"/>
    <x v="3"/>
    <x v="5"/>
    <x v="2"/>
    <n v="3"/>
    <n v="150"/>
    <n v="450"/>
    <s v="UPI"/>
    <x v="8"/>
  </r>
  <r>
    <n v="1130"/>
    <s v="2024-05-31"/>
    <s v="Pooja"/>
    <x v="2"/>
    <x v="4"/>
    <x v="1"/>
    <n v="3"/>
    <n v="20000"/>
    <n v="60000"/>
    <s v="Net Banking"/>
    <x v="7"/>
  </r>
  <r>
    <n v="1131"/>
    <s v="2024-06-04"/>
    <s v="Amit"/>
    <x v="0"/>
    <x v="0"/>
    <x v="0"/>
    <n v="2"/>
    <n v="8000"/>
    <n v="16000"/>
    <s v="UPI"/>
    <x v="6"/>
  </r>
  <r>
    <n v="1132"/>
    <s v="2024-10-23"/>
    <s v="Anjali"/>
    <x v="2"/>
    <x v="2"/>
    <x v="1"/>
    <n v="1"/>
    <n v="15000"/>
    <n v="15000"/>
    <s v="Card"/>
    <x v="9"/>
  </r>
  <r>
    <n v="1133"/>
    <s v="2024-04-04"/>
    <s v="Amit"/>
    <x v="2"/>
    <x v="0"/>
    <x v="0"/>
    <n v="5"/>
    <n v="8000"/>
    <n v="40000"/>
    <s v="UPI"/>
    <x v="2"/>
  </r>
  <r>
    <n v="1134"/>
    <s v="2024-03-05"/>
    <s v="Suresh"/>
    <x v="3"/>
    <x v="2"/>
    <x v="1"/>
    <n v="3"/>
    <n v="15000"/>
    <n v="45000"/>
    <s v="UPI"/>
    <x v="3"/>
  </r>
  <r>
    <n v="1135"/>
    <s v="2024-04-25"/>
    <s v="Amit"/>
    <x v="1"/>
    <x v="2"/>
    <x v="1"/>
    <n v="2"/>
    <n v="15000"/>
    <n v="30000"/>
    <s v="Net Banking"/>
    <x v="2"/>
  </r>
  <r>
    <n v="1136"/>
    <s v="2024-06-10"/>
    <s v="Anjali"/>
    <x v="2"/>
    <x v="3"/>
    <x v="1"/>
    <n v="3"/>
    <n v="55000"/>
    <n v="165000"/>
    <s v="Net Banking"/>
    <x v="6"/>
  </r>
  <r>
    <n v="1137"/>
    <s v="2024-04-28"/>
    <s v="Priya"/>
    <x v="1"/>
    <x v="7"/>
    <x v="2"/>
    <n v="3"/>
    <n v="20"/>
    <n v="60"/>
    <s v="UPI"/>
    <x v="2"/>
  </r>
  <r>
    <n v="1138"/>
    <s v="2024-05-18"/>
    <s v="Vikas"/>
    <x v="3"/>
    <x v="7"/>
    <x v="2"/>
    <n v="3"/>
    <n v="20"/>
    <n v="60"/>
    <s v="Card"/>
    <x v="7"/>
  </r>
  <r>
    <n v="1139"/>
    <s v="2024-07-01"/>
    <s v="Neha"/>
    <x v="0"/>
    <x v="0"/>
    <x v="0"/>
    <n v="3"/>
    <n v="8000"/>
    <n v="24000"/>
    <s v="Card"/>
    <x v="1"/>
  </r>
  <r>
    <n v="1140"/>
    <s v="2024-12-15"/>
    <s v="Vikas"/>
    <x v="2"/>
    <x v="4"/>
    <x v="1"/>
    <n v="1"/>
    <n v="20000"/>
    <n v="20000"/>
    <s v="Card"/>
    <x v="11"/>
  </r>
  <r>
    <n v="1141"/>
    <s v="2024-10-23"/>
    <s v="Amit"/>
    <x v="0"/>
    <x v="7"/>
    <x v="2"/>
    <n v="2"/>
    <n v="20"/>
    <n v="40"/>
    <s v="Cash"/>
    <x v="9"/>
  </r>
  <r>
    <n v="1142"/>
    <s v="2024-03-18"/>
    <s v="Suresh"/>
    <x v="2"/>
    <x v="4"/>
    <x v="1"/>
    <n v="4"/>
    <n v="20000"/>
    <n v="80000"/>
    <s v="Card"/>
    <x v="3"/>
  </r>
  <r>
    <n v="1143"/>
    <s v="2024-12-11"/>
    <s v="Anjali"/>
    <x v="2"/>
    <x v="5"/>
    <x v="2"/>
    <n v="4"/>
    <n v="150"/>
    <n v="600"/>
    <s v="Cash"/>
    <x v="11"/>
  </r>
  <r>
    <n v="1144"/>
    <s v="2024-10-05"/>
    <s v="Pooja"/>
    <x v="2"/>
    <x v="2"/>
    <x v="1"/>
    <n v="5"/>
    <n v="15000"/>
    <n v="75000"/>
    <s v="Cash"/>
    <x v="9"/>
  </r>
  <r>
    <n v="1145"/>
    <s v="2024-04-23"/>
    <s v="Suresh"/>
    <x v="3"/>
    <x v="1"/>
    <x v="0"/>
    <n v="3"/>
    <n v="4500"/>
    <n v="13500"/>
    <s v="Card"/>
    <x v="2"/>
  </r>
  <r>
    <n v="1146"/>
    <s v="2024-05-06"/>
    <s v="Vikas"/>
    <x v="3"/>
    <x v="3"/>
    <x v="1"/>
    <n v="3"/>
    <n v="55000"/>
    <n v="165000"/>
    <s v="Card"/>
    <x v="7"/>
  </r>
  <r>
    <n v="1147"/>
    <s v="2024-01-26"/>
    <s v="Kiran"/>
    <x v="2"/>
    <x v="5"/>
    <x v="2"/>
    <n v="3"/>
    <n v="150"/>
    <n v="450"/>
    <s v="Card"/>
    <x v="0"/>
  </r>
  <r>
    <n v="1148"/>
    <s v="2024-07-18"/>
    <s v="Vikas"/>
    <x v="1"/>
    <x v="6"/>
    <x v="3"/>
    <n v="1"/>
    <n v="2000"/>
    <n v="2000"/>
    <s v="UPI"/>
    <x v="1"/>
  </r>
  <r>
    <n v="1149"/>
    <s v="2024-03-31"/>
    <s v="Vikas"/>
    <x v="3"/>
    <x v="7"/>
    <x v="2"/>
    <n v="3"/>
    <n v="20"/>
    <n v="60"/>
    <s v="Cash"/>
    <x v="3"/>
  </r>
  <r>
    <n v="1150"/>
    <s v="2024-05-17"/>
    <s v="Anjali"/>
    <x v="1"/>
    <x v="6"/>
    <x v="3"/>
    <n v="5"/>
    <n v="2000"/>
    <n v="10000"/>
    <s v="Net Banking"/>
    <x v="7"/>
  </r>
  <r>
    <n v="1151"/>
    <s v="2024-04-19"/>
    <s v="Pooja"/>
    <x v="3"/>
    <x v="5"/>
    <x v="2"/>
    <n v="1"/>
    <n v="150"/>
    <n v="150"/>
    <s v="UPI"/>
    <x v="2"/>
  </r>
  <r>
    <n v="1152"/>
    <s v="2024-04-19"/>
    <s v="Anjali"/>
    <x v="3"/>
    <x v="3"/>
    <x v="1"/>
    <n v="5"/>
    <n v="55000"/>
    <n v="275000"/>
    <s v="UPI"/>
    <x v="2"/>
  </r>
  <r>
    <n v="1153"/>
    <s v="2024-05-14"/>
    <s v="Priya"/>
    <x v="1"/>
    <x v="4"/>
    <x v="1"/>
    <n v="4"/>
    <n v="20000"/>
    <n v="80000"/>
    <s v="UPI"/>
    <x v="7"/>
  </r>
  <r>
    <n v="1154"/>
    <s v="2024-08-11"/>
    <s v="Rahul"/>
    <x v="3"/>
    <x v="3"/>
    <x v="1"/>
    <n v="4"/>
    <n v="55000"/>
    <n v="220000"/>
    <s v="Net Banking"/>
    <x v="10"/>
  </r>
  <r>
    <n v="1155"/>
    <s v="2024-10-09"/>
    <s v="Rahul"/>
    <x v="2"/>
    <x v="6"/>
    <x v="3"/>
    <n v="2"/>
    <n v="2000"/>
    <n v="4000"/>
    <s v="Net Banking"/>
    <x v="9"/>
  </r>
  <r>
    <n v="1156"/>
    <s v="2024-03-13"/>
    <s v="Vikas"/>
    <x v="3"/>
    <x v="1"/>
    <x v="0"/>
    <n v="5"/>
    <n v="4500"/>
    <n v="22500"/>
    <s v="UPI"/>
    <x v="3"/>
  </r>
  <r>
    <n v="1157"/>
    <s v="2024-03-01"/>
    <s v="Ravi"/>
    <x v="2"/>
    <x v="4"/>
    <x v="1"/>
    <n v="1"/>
    <n v="20000"/>
    <n v="20000"/>
    <s v="Net Banking"/>
    <x v="3"/>
  </r>
  <r>
    <n v="1158"/>
    <s v="2024-03-15"/>
    <s v="Ravi"/>
    <x v="1"/>
    <x v="4"/>
    <x v="1"/>
    <n v="2"/>
    <n v="20000"/>
    <n v="40000"/>
    <s v="Cash"/>
    <x v="3"/>
  </r>
  <r>
    <n v="1159"/>
    <s v="2024-09-03"/>
    <s v="Amit"/>
    <x v="2"/>
    <x v="4"/>
    <x v="1"/>
    <n v="4"/>
    <n v="20000"/>
    <n v="80000"/>
    <s v="Cash"/>
    <x v="5"/>
  </r>
  <r>
    <n v="1160"/>
    <s v="2024-09-14"/>
    <s v="Suresh"/>
    <x v="0"/>
    <x v="1"/>
    <x v="0"/>
    <n v="4"/>
    <n v="4500"/>
    <n v="18000"/>
    <s v="Card"/>
    <x v="5"/>
  </r>
  <r>
    <n v="1161"/>
    <s v="2024-04-02"/>
    <s v="Pooja"/>
    <x v="2"/>
    <x v="7"/>
    <x v="2"/>
    <n v="5"/>
    <n v="20"/>
    <n v="100"/>
    <s v="Cash"/>
    <x v="2"/>
  </r>
  <r>
    <n v="1162"/>
    <s v="2024-12-05"/>
    <s v="Priya"/>
    <x v="1"/>
    <x v="1"/>
    <x v="0"/>
    <n v="3"/>
    <n v="4500"/>
    <n v="13500"/>
    <s v="UPI"/>
    <x v="11"/>
  </r>
  <r>
    <n v="1163"/>
    <s v="2024-04-04"/>
    <s v="Rahul"/>
    <x v="2"/>
    <x v="1"/>
    <x v="0"/>
    <n v="5"/>
    <n v="4500"/>
    <n v="22500"/>
    <s v="UPI"/>
    <x v="2"/>
  </r>
  <r>
    <n v="1164"/>
    <s v="2024-04-13"/>
    <s v="Neha"/>
    <x v="3"/>
    <x v="0"/>
    <x v="0"/>
    <n v="2"/>
    <n v="8000"/>
    <n v="16000"/>
    <s v="UPI"/>
    <x v="2"/>
  </r>
  <r>
    <n v="1165"/>
    <s v="2024-12-11"/>
    <s v="Rahul"/>
    <x v="2"/>
    <x v="2"/>
    <x v="1"/>
    <n v="3"/>
    <n v="15000"/>
    <n v="45000"/>
    <s v="Card"/>
    <x v="11"/>
  </r>
  <r>
    <n v="1166"/>
    <s v="2024-06-12"/>
    <s v="Suresh"/>
    <x v="1"/>
    <x v="6"/>
    <x v="3"/>
    <n v="5"/>
    <n v="2000"/>
    <n v="10000"/>
    <s v="Net Banking"/>
    <x v="6"/>
  </r>
  <r>
    <n v="1167"/>
    <s v="2024-09-28"/>
    <s v="Ravi"/>
    <x v="0"/>
    <x v="3"/>
    <x v="1"/>
    <n v="5"/>
    <n v="55000"/>
    <n v="275000"/>
    <s v="Cash"/>
    <x v="5"/>
  </r>
  <r>
    <n v="1168"/>
    <s v="2024-12-22"/>
    <s v="Amit"/>
    <x v="1"/>
    <x v="3"/>
    <x v="1"/>
    <n v="2"/>
    <n v="55000"/>
    <n v="110000"/>
    <s v="Card"/>
    <x v="11"/>
  </r>
  <r>
    <n v="1169"/>
    <s v="2024-10-19"/>
    <s v="Pooja"/>
    <x v="3"/>
    <x v="0"/>
    <x v="0"/>
    <n v="3"/>
    <n v="8000"/>
    <n v="24000"/>
    <s v="Card"/>
    <x v="9"/>
  </r>
  <r>
    <n v="1170"/>
    <s v="2024-02-09"/>
    <s v="Suresh"/>
    <x v="2"/>
    <x v="1"/>
    <x v="0"/>
    <n v="4"/>
    <n v="4500"/>
    <n v="18000"/>
    <s v="Cash"/>
    <x v="8"/>
  </r>
  <r>
    <n v="1171"/>
    <s v="2024-03-16"/>
    <s v="Suresh"/>
    <x v="1"/>
    <x v="5"/>
    <x v="2"/>
    <n v="4"/>
    <n v="150"/>
    <n v="600"/>
    <s v="Net Banking"/>
    <x v="3"/>
  </r>
  <r>
    <n v="1172"/>
    <s v="2024-01-23"/>
    <s v="Suresh"/>
    <x v="3"/>
    <x v="0"/>
    <x v="0"/>
    <n v="3"/>
    <n v="8000"/>
    <n v="24000"/>
    <s v="UPI"/>
    <x v="0"/>
  </r>
  <r>
    <n v="1173"/>
    <s v="2024-04-24"/>
    <s v="Pooja"/>
    <x v="2"/>
    <x v="2"/>
    <x v="1"/>
    <n v="5"/>
    <n v="15000"/>
    <n v="75000"/>
    <s v="UPI"/>
    <x v="2"/>
  </r>
  <r>
    <n v="1174"/>
    <s v="2024-03-02"/>
    <s v="Pooja"/>
    <x v="2"/>
    <x v="6"/>
    <x v="3"/>
    <n v="3"/>
    <n v="2000"/>
    <n v="6000"/>
    <s v="Net Banking"/>
    <x v="3"/>
  </r>
  <r>
    <n v="1175"/>
    <s v="2024-03-07"/>
    <s v="Neha"/>
    <x v="3"/>
    <x v="5"/>
    <x v="2"/>
    <n v="3"/>
    <n v="150"/>
    <n v="450"/>
    <s v="UPI"/>
    <x v="3"/>
  </r>
  <r>
    <n v="1176"/>
    <s v="2024-09-19"/>
    <s v="Ravi"/>
    <x v="3"/>
    <x v="7"/>
    <x v="2"/>
    <n v="5"/>
    <n v="20"/>
    <n v="100"/>
    <s v="Card"/>
    <x v="5"/>
  </r>
  <r>
    <n v="1177"/>
    <s v="2024-05-09"/>
    <s v="Suresh"/>
    <x v="3"/>
    <x v="3"/>
    <x v="1"/>
    <n v="3"/>
    <n v="55000"/>
    <n v="165000"/>
    <s v="Card"/>
    <x v="7"/>
  </r>
  <r>
    <n v="1178"/>
    <s v="2024-11-18"/>
    <s v="Suresh"/>
    <x v="0"/>
    <x v="5"/>
    <x v="2"/>
    <n v="1"/>
    <n v="150"/>
    <n v="150"/>
    <s v="UPI"/>
    <x v="4"/>
  </r>
  <r>
    <n v="1179"/>
    <s v="2024-06-27"/>
    <s v="Pooja"/>
    <x v="0"/>
    <x v="7"/>
    <x v="2"/>
    <n v="4"/>
    <n v="20"/>
    <n v="80"/>
    <s v="Net Banking"/>
    <x v="6"/>
  </r>
  <r>
    <n v="1180"/>
    <s v="2024-01-15"/>
    <s v="Priya"/>
    <x v="0"/>
    <x v="0"/>
    <x v="0"/>
    <n v="5"/>
    <n v="8000"/>
    <n v="40000"/>
    <s v="Cash"/>
    <x v="0"/>
  </r>
  <r>
    <n v="1181"/>
    <s v="2024-06-30"/>
    <s v="Priya"/>
    <x v="2"/>
    <x v="0"/>
    <x v="0"/>
    <n v="4"/>
    <n v="8000"/>
    <n v="32000"/>
    <s v="UPI"/>
    <x v="6"/>
  </r>
  <r>
    <n v="1182"/>
    <s v="2024-02-16"/>
    <s v="Ravi"/>
    <x v="1"/>
    <x v="7"/>
    <x v="2"/>
    <n v="4"/>
    <n v="20"/>
    <n v="80"/>
    <s v="Card"/>
    <x v="8"/>
  </r>
  <r>
    <n v="1183"/>
    <s v="2024-01-06"/>
    <s v="Kiran"/>
    <x v="3"/>
    <x v="1"/>
    <x v="0"/>
    <n v="2"/>
    <n v="4500"/>
    <n v="9000"/>
    <s v="Net Banking"/>
    <x v="0"/>
  </r>
  <r>
    <n v="1184"/>
    <s v="2024-02-18"/>
    <s v="Kiran"/>
    <x v="3"/>
    <x v="4"/>
    <x v="1"/>
    <n v="3"/>
    <n v="20000"/>
    <n v="60000"/>
    <s v="Net Banking"/>
    <x v="8"/>
  </r>
  <r>
    <n v="1185"/>
    <s v="2024-07-18"/>
    <s v="Ravi"/>
    <x v="2"/>
    <x v="1"/>
    <x v="0"/>
    <n v="2"/>
    <n v="4500"/>
    <n v="9000"/>
    <s v="Net Banking"/>
    <x v="1"/>
  </r>
  <r>
    <n v="1186"/>
    <s v="2024-06-17"/>
    <s v="Anjali"/>
    <x v="1"/>
    <x v="7"/>
    <x v="2"/>
    <n v="4"/>
    <n v="20"/>
    <n v="80"/>
    <s v="Card"/>
    <x v="6"/>
  </r>
  <r>
    <n v="1187"/>
    <s v="2024-06-25"/>
    <s v="Rahul"/>
    <x v="2"/>
    <x v="4"/>
    <x v="1"/>
    <n v="3"/>
    <n v="20000"/>
    <n v="60000"/>
    <s v="Cash"/>
    <x v="6"/>
  </r>
  <r>
    <n v="1188"/>
    <s v="2024-06-01"/>
    <s v="Rahul"/>
    <x v="3"/>
    <x v="2"/>
    <x v="1"/>
    <n v="3"/>
    <n v="15000"/>
    <n v="45000"/>
    <s v="Net Banking"/>
    <x v="6"/>
  </r>
  <r>
    <n v="1189"/>
    <s v="2024-04-26"/>
    <s v="Ravi"/>
    <x v="3"/>
    <x v="0"/>
    <x v="0"/>
    <n v="2"/>
    <n v="8000"/>
    <n v="16000"/>
    <s v="Net Banking"/>
    <x v="2"/>
  </r>
  <r>
    <n v="1190"/>
    <s v="2024-12-29"/>
    <s v="Rahul"/>
    <x v="2"/>
    <x v="4"/>
    <x v="1"/>
    <n v="2"/>
    <n v="20000"/>
    <n v="40000"/>
    <s v="UPI"/>
    <x v="11"/>
  </r>
  <r>
    <n v="1191"/>
    <s v="2024-02-12"/>
    <s v="Neha"/>
    <x v="2"/>
    <x v="6"/>
    <x v="3"/>
    <n v="1"/>
    <n v="2000"/>
    <n v="2000"/>
    <s v="Cash"/>
    <x v="8"/>
  </r>
  <r>
    <n v="1192"/>
    <s v="2024-02-23"/>
    <s v="Amit"/>
    <x v="2"/>
    <x v="2"/>
    <x v="1"/>
    <n v="4"/>
    <n v="15000"/>
    <n v="60000"/>
    <s v="Net Banking"/>
    <x v="8"/>
  </r>
  <r>
    <n v="1193"/>
    <s v="2024-04-06"/>
    <s v="Ravi"/>
    <x v="0"/>
    <x v="6"/>
    <x v="3"/>
    <n v="4"/>
    <n v="2000"/>
    <n v="8000"/>
    <s v="Card"/>
    <x v="2"/>
  </r>
  <r>
    <n v="1194"/>
    <s v="2024-04-10"/>
    <s v="Rahul"/>
    <x v="1"/>
    <x v="6"/>
    <x v="3"/>
    <n v="2"/>
    <n v="2000"/>
    <n v="4000"/>
    <s v="Net Banking"/>
    <x v="2"/>
  </r>
  <r>
    <n v="1195"/>
    <s v="2024-06-03"/>
    <s v="Vikas"/>
    <x v="0"/>
    <x v="1"/>
    <x v="0"/>
    <n v="5"/>
    <n v="4500"/>
    <n v="22500"/>
    <s v="Card"/>
    <x v="6"/>
  </r>
  <r>
    <n v="1196"/>
    <s v="2024-12-17"/>
    <s v="Pooja"/>
    <x v="1"/>
    <x v="4"/>
    <x v="1"/>
    <n v="2"/>
    <n v="20000"/>
    <n v="40000"/>
    <s v="UPI"/>
    <x v="11"/>
  </r>
  <r>
    <n v="1197"/>
    <s v="2024-01-22"/>
    <s v="Suresh"/>
    <x v="2"/>
    <x v="2"/>
    <x v="1"/>
    <n v="4"/>
    <n v="15000"/>
    <n v="60000"/>
    <s v="Cash"/>
    <x v="0"/>
  </r>
  <r>
    <n v="1198"/>
    <s v="2024-03-14"/>
    <s v="Anjali"/>
    <x v="2"/>
    <x v="7"/>
    <x v="2"/>
    <n v="2"/>
    <n v="20"/>
    <n v="40"/>
    <s v="Net Banking"/>
    <x v="3"/>
  </r>
  <r>
    <n v="1199"/>
    <s v="2024-11-29"/>
    <s v="Vikas"/>
    <x v="1"/>
    <x v="7"/>
    <x v="2"/>
    <n v="5"/>
    <n v="20"/>
    <n v="100"/>
    <s v="Cash"/>
    <x v="4"/>
  </r>
  <r>
    <n v="1200"/>
    <s v="2024-08-09"/>
    <s v="Pooja"/>
    <x v="3"/>
    <x v="5"/>
    <x v="2"/>
    <n v="2"/>
    <n v="150"/>
    <n v="300"/>
    <s v="UPI"/>
    <x v="10"/>
  </r>
  <r>
    <n v="1201"/>
    <s v="2024-06-02"/>
    <s v="Neha"/>
    <x v="3"/>
    <x v="3"/>
    <x v="1"/>
    <n v="3"/>
    <n v="55000"/>
    <n v="165000"/>
    <s v="Card"/>
    <x v="6"/>
  </r>
  <r>
    <n v="1202"/>
    <s v="2024-09-21"/>
    <s v="Vikas"/>
    <x v="2"/>
    <x v="0"/>
    <x v="0"/>
    <n v="5"/>
    <n v="8000"/>
    <n v="40000"/>
    <s v="Net Banking"/>
    <x v="5"/>
  </r>
  <r>
    <n v="1203"/>
    <s v="2024-12-16"/>
    <s v="Pooja"/>
    <x v="3"/>
    <x v="2"/>
    <x v="1"/>
    <n v="3"/>
    <n v="15000"/>
    <n v="45000"/>
    <s v="Net Banking"/>
    <x v="11"/>
  </r>
  <r>
    <n v="1204"/>
    <s v="2024-12-23"/>
    <s v="Rahul"/>
    <x v="3"/>
    <x v="3"/>
    <x v="1"/>
    <n v="2"/>
    <n v="55000"/>
    <n v="110000"/>
    <s v="Card"/>
    <x v="11"/>
  </r>
  <r>
    <n v="1205"/>
    <s v="2024-03-17"/>
    <s v="Rahul"/>
    <x v="2"/>
    <x v="0"/>
    <x v="0"/>
    <n v="5"/>
    <n v="8000"/>
    <n v="40000"/>
    <s v="Card"/>
    <x v="3"/>
  </r>
  <r>
    <n v="1206"/>
    <s v="2024-08-10"/>
    <s v="Pooja"/>
    <x v="2"/>
    <x v="3"/>
    <x v="1"/>
    <n v="2"/>
    <n v="55000"/>
    <n v="110000"/>
    <s v="Cash"/>
    <x v="10"/>
  </r>
  <r>
    <n v="1207"/>
    <s v="2024-11-22"/>
    <s v="Pooja"/>
    <x v="3"/>
    <x v="4"/>
    <x v="1"/>
    <n v="3"/>
    <n v="20000"/>
    <n v="60000"/>
    <s v="UPI"/>
    <x v="4"/>
  </r>
  <r>
    <n v="1208"/>
    <s v="2024-05-27"/>
    <s v="Neha"/>
    <x v="0"/>
    <x v="6"/>
    <x v="3"/>
    <n v="1"/>
    <n v="2000"/>
    <n v="2000"/>
    <s v="Card"/>
    <x v="7"/>
  </r>
  <r>
    <n v="1209"/>
    <s v="2024-08-27"/>
    <s v="Rahul"/>
    <x v="0"/>
    <x v="7"/>
    <x v="2"/>
    <n v="1"/>
    <n v="20"/>
    <n v="20"/>
    <s v="UPI"/>
    <x v="10"/>
  </r>
  <r>
    <n v="1210"/>
    <s v="2024-10-18"/>
    <s v="Neha"/>
    <x v="1"/>
    <x v="0"/>
    <x v="0"/>
    <n v="2"/>
    <n v="8000"/>
    <n v="16000"/>
    <s v="UPI"/>
    <x v="9"/>
  </r>
  <r>
    <n v="1211"/>
    <s v="2024-06-14"/>
    <s v="Priya"/>
    <x v="0"/>
    <x v="6"/>
    <x v="3"/>
    <n v="4"/>
    <n v="2000"/>
    <n v="8000"/>
    <s v="UPI"/>
    <x v="6"/>
  </r>
  <r>
    <n v="1212"/>
    <s v="2024-02-20"/>
    <s v="Ravi"/>
    <x v="2"/>
    <x v="5"/>
    <x v="2"/>
    <n v="4"/>
    <n v="150"/>
    <n v="600"/>
    <s v="UPI"/>
    <x v="8"/>
  </r>
  <r>
    <n v="1213"/>
    <s v="2024-03-29"/>
    <s v="Kiran"/>
    <x v="0"/>
    <x v="4"/>
    <x v="1"/>
    <n v="2"/>
    <n v="20000"/>
    <n v="40000"/>
    <s v="UPI"/>
    <x v="3"/>
  </r>
  <r>
    <n v="1214"/>
    <s v="2024-02-10"/>
    <s v="Rahul"/>
    <x v="1"/>
    <x v="0"/>
    <x v="0"/>
    <n v="5"/>
    <n v="8000"/>
    <n v="40000"/>
    <s v="Card"/>
    <x v="8"/>
  </r>
  <r>
    <n v="1215"/>
    <s v="2024-11-26"/>
    <s v="Ravi"/>
    <x v="2"/>
    <x v="6"/>
    <x v="3"/>
    <n v="4"/>
    <n v="2000"/>
    <n v="8000"/>
    <s v="Net Banking"/>
    <x v="4"/>
  </r>
  <r>
    <n v="1216"/>
    <s v="2024-12-26"/>
    <s v="Suresh"/>
    <x v="3"/>
    <x v="5"/>
    <x v="2"/>
    <n v="2"/>
    <n v="150"/>
    <n v="300"/>
    <s v="Net Banking"/>
    <x v="11"/>
  </r>
  <r>
    <n v="1217"/>
    <s v="2024-05-15"/>
    <s v="Pooja"/>
    <x v="2"/>
    <x v="4"/>
    <x v="1"/>
    <n v="3"/>
    <n v="20000"/>
    <n v="60000"/>
    <s v="Card"/>
    <x v="7"/>
  </r>
  <r>
    <n v="1218"/>
    <s v="2024-11-08"/>
    <s v="Amit"/>
    <x v="3"/>
    <x v="3"/>
    <x v="1"/>
    <n v="1"/>
    <n v="55000"/>
    <n v="55000"/>
    <s v="Net Banking"/>
    <x v="4"/>
  </r>
  <r>
    <n v="1219"/>
    <s v="2024-01-07"/>
    <s v="Vikas"/>
    <x v="3"/>
    <x v="7"/>
    <x v="2"/>
    <n v="1"/>
    <n v="20"/>
    <n v="20"/>
    <s v="Net Banking"/>
    <x v="0"/>
  </r>
  <r>
    <n v="1220"/>
    <s v="2024-09-01"/>
    <s v="Vikas"/>
    <x v="3"/>
    <x v="6"/>
    <x v="3"/>
    <n v="2"/>
    <n v="2000"/>
    <n v="4000"/>
    <s v="Card"/>
    <x v="5"/>
  </r>
  <r>
    <n v="1221"/>
    <s v="2024-10-05"/>
    <s v="Ravi"/>
    <x v="2"/>
    <x v="7"/>
    <x v="2"/>
    <n v="1"/>
    <n v="20"/>
    <n v="20"/>
    <s v="UPI"/>
    <x v="9"/>
  </r>
  <r>
    <n v="1222"/>
    <s v="2024-08-30"/>
    <s v="Vikas"/>
    <x v="1"/>
    <x v="2"/>
    <x v="1"/>
    <n v="1"/>
    <n v="15000"/>
    <n v="15000"/>
    <s v="Cash"/>
    <x v="10"/>
  </r>
  <r>
    <n v="1223"/>
    <s v="2024-01-14"/>
    <s v="Rahul"/>
    <x v="2"/>
    <x v="2"/>
    <x v="1"/>
    <n v="1"/>
    <n v="15000"/>
    <n v="15000"/>
    <s v="UPI"/>
    <x v="0"/>
  </r>
  <r>
    <n v="1224"/>
    <s v="2024-10-14"/>
    <s v="Vikas"/>
    <x v="2"/>
    <x v="3"/>
    <x v="1"/>
    <n v="1"/>
    <n v="55000"/>
    <n v="55000"/>
    <s v="Net Banking"/>
    <x v="9"/>
  </r>
  <r>
    <n v="1225"/>
    <s v="2024-07-04"/>
    <s v="Amit"/>
    <x v="0"/>
    <x v="6"/>
    <x v="3"/>
    <n v="1"/>
    <n v="2000"/>
    <n v="2000"/>
    <s v="UPI"/>
    <x v="1"/>
  </r>
  <r>
    <n v="1226"/>
    <s v="2024-01-19"/>
    <s v="Pooja"/>
    <x v="0"/>
    <x v="7"/>
    <x v="2"/>
    <n v="3"/>
    <n v="20"/>
    <n v="60"/>
    <s v="UPI"/>
    <x v="0"/>
  </r>
  <r>
    <n v="1227"/>
    <s v="2024-09-13"/>
    <s v="Anjali"/>
    <x v="1"/>
    <x v="1"/>
    <x v="0"/>
    <n v="5"/>
    <n v="4500"/>
    <n v="22500"/>
    <s v="UPI"/>
    <x v="5"/>
  </r>
  <r>
    <n v="1228"/>
    <s v="2024-10-12"/>
    <s v="Vikas"/>
    <x v="2"/>
    <x v="3"/>
    <x v="1"/>
    <n v="1"/>
    <n v="55000"/>
    <n v="55000"/>
    <s v="Card"/>
    <x v="9"/>
  </r>
  <r>
    <n v="1229"/>
    <s v="2024-07-19"/>
    <s v="Rahul"/>
    <x v="1"/>
    <x v="1"/>
    <x v="0"/>
    <n v="1"/>
    <n v="4500"/>
    <n v="4500"/>
    <s v="Card"/>
    <x v="1"/>
  </r>
  <r>
    <n v="1230"/>
    <s v="2024-02-07"/>
    <s v="Neha"/>
    <x v="3"/>
    <x v="7"/>
    <x v="2"/>
    <n v="3"/>
    <n v="20"/>
    <n v="60"/>
    <s v="Cash"/>
    <x v="8"/>
  </r>
  <r>
    <n v="1231"/>
    <s v="2024-03-05"/>
    <s v="Priya"/>
    <x v="1"/>
    <x v="0"/>
    <x v="0"/>
    <n v="4"/>
    <n v="8000"/>
    <n v="32000"/>
    <s v="Net Banking"/>
    <x v="3"/>
  </r>
  <r>
    <n v="1232"/>
    <s v="2024-01-19"/>
    <s v="Pooja"/>
    <x v="1"/>
    <x v="5"/>
    <x v="2"/>
    <n v="5"/>
    <n v="150"/>
    <n v="750"/>
    <s v="UPI"/>
    <x v="0"/>
  </r>
  <r>
    <n v="1233"/>
    <s v="2024-07-22"/>
    <s v="Vikas"/>
    <x v="2"/>
    <x v="5"/>
    <x v="2"/>
    <n v="2"/>
    <n v="150"/>
    <n v="300"/>
    <s v="UPI"/>
    <x v="1"/>
  </r>
  <r>
    <n v="1234"/>
    <s v="2024-11-13"/>
    <s v="Vikas"/>
    <x v="2"/>
    <x v="3"/>
    <x v="1"/>
    <n v="5"/>
    <n v="55000"/>
    <n v="275000"/>
    <s v="UPI"/>
    <x v="4"/>
  </r>
  <r>
    <n v="1235"/>
    <s v="2024-06-11"/>
    <s v="Suresh"/>
    <x v="2"/>
    <x v="0"/>
    <x v="0"/>
    <n v="3"/>
    <n v="8000"/>
    <n v="24000"/>
    <s v="UPI"/>
    <x v="6"/>
  </r>
  <r>
    <n v="1236"/>
    <s v="2024-12-22"/>
    <s v="Kiran"/>
    <x v="0"/>
    <x v="1"/>
    <x v="0"/>
    <n v="3"/>
    <n v="4500"/>
    <n v="13500"/>
    <s v="UPI"/>
    <x v="11"/>
  </r>
  <r>
    <n v="1237"/>
    <s v="2024-06-17"/>
    <s v="Vikas"/>
    <x v="3"/>
    <x v="3"/>
    <x v="1"/>
    <n v="2"/>
    <n v="55000"/>
    <n v="110000"/>
    <s v="Cash"/>
    <x v="6"/>
  </r>
  <r>
    <n v="1238"/>
    <s v="2024-01-15"/>
    <s v="Rahul"/>
    <x v="2"/>
    <x v="7"/>
    <x v="2"/>
    <n v="2"/>
    <n v="20"/>
    <n v="40"/>
    <s v="Net Banking"/>
    <x v="0"/>
  </r>
  <r>
    <n v="1239"/>
    <s v="2024-09-30"/>
    <s v="Priya"/>
    <x v="0"/>
    <x v="5"/>
    <x v="2"/>
    <n v="4"/>
    <n v="150"/>
    <n v="600"/>
    <s v="Net Banking"/>
    <x v="5"/>
  </r>
  <r>
    <n v="1240"/>
    <s v="2024-02-02"/>
    <s v="Ravi"/>
    <x v="1"/>
    <x v="1"/>
    <x v="0"/>
    <n v="5"/>
    <n v="4500"/>
    <n v="22500"/>
    <s v="Card"/>
    <x v="8"/>
  </r>
  <r>
    <n v="1241"/>
    <s v="2024-04-26"/>
    <s v="Amit"/>
    <x v="1"/>
    <x v="4"/>
    <x v="1"/>
    <n v="5"/>
    <n v="20000"/>
    <n v="100000"/>
    <s v="UPI"/>
    <x v="2"/>
  </r>
  <r>
    <n v="1242"/>
    <s v="2024-06-09"/>
    <s v="Ravi"/>
    <x v="1"/>
    <x v="5"/>
    <x v="2"/>
    <n v="1"/>
    <n v="150"/>
    <n v="150"/>
    <s v="UPI"/>
    <x v="6"/>
  </r>
  <r>
    <n v="1243"/>
    <s v="2024-09-24"/>
    <s v="Suresh"/>
    <x v="2"/>
    <x v="3"/>
    <x v="1"/>
    <n v="2"/>
    <n v="55000"/>
    <n v="110000"/>
    <s v="Card"/>
    <x v="5"/>
  </r>
  <r>
    <n v="1244"/>
    <s v="2024-07-11"/>
    <s v="Anjali"/>
    <x v="3"/>
    <x v="7"/>
    <x v="2"/>
    <n v="3"/>
    <n v="20"/>
    <n v="60"/>
    <s v="Card"/>
    <x v="1"/>
  </r>
  <r>
    <n v="1245"/>
    <s v="2024-03-03"/>
    <s v="Ravi"/>
    <x v="1"/>
    <x v="6"/>
    <x v="3"/>
    <n v="4"/>
    <n v="2000"/>
    <n v="8000"/>
    <s v="Cash"/>
    <x v="3"/>
  </r>
  <r>
    <n v="1246"/>
    <s v="2024-03-05"/>
    <s v="Vikas"/>
    <x v="2"/>
    <x v="6"/>
    <x v="3"/>
    <n v="2"/>
    <n v="2000"/>
    <n v="4000"/>
    <s v="UPI"/>
    <x v="3"/>
  </r>
  <r>
    <n v="1247"/>
    <s v="2024-05-29"/>
    <s v="Ravi"/>
    <x v="3"/>
    <x v="6"/>
    <x v="3"/>
    <n v="1"/>
    <n v="2000"/>
    <n v="2000"/>
    <s v="Net Banking"/>
    <x v="7"/>
  </r>
  <r>
    <n v="1248"/>
    <s v="2024-12-07"/>
    <s v="Neha"/>
    <x v="0"/>
    <x v="6"/>
    <x v="3"/>
    <n v="3"/>
    <n v="2000"/>
    <n v="6000"/>
    <s v="Cash"/>
    <x v="11"/>
  </r>
  <r>
    <n v="1249"/>
    <s v="2024-01-16"/>
    <s v="Vikas"/>
    <x v="1"/>
    <x v="6"/>
    <x v="3"/>
    <n v="2"/>
    <n v="2000"/>
    <n v="4000"/>
    <s v="Cash"/>
    <x v="0"/>
  </r>
  <r>
    <n v="1250"/>
    <s v="2024-04-01"/>
    <s v="Rahul"/>
    <x v="3"/>
    <x v="0"/>
    <x v="0"/>
    <n v="4"/>
    <n v="8000"/>
    <n v="32000"/>
    <s v="Card"/>
    <x v="2"/>
  </r>
  <r>
    <n v="1251"/>
    <s v="2024-05-09"/>
    <s v="Pooja"/>
    <x v="1"/>
    <x v="2"/>
    <x v="1"/>
    <n v="4"/>
    <n v="15000"/>
    <n v="60000"/>
    <s v="Card"/>
    <x v="7"/>
  </r>
  <r>
    <n v="1252"/>
    <s v="2024-12-28"/>
    <s v="Kiran"/>
    <x v="2"/>
    <x v="6"/>
    <x v="3"/>
    <n v="2"/>
    <n v="2000"/>
    <n v="4000"/>
    <s v="UPI"/>
    <x v="11"/>
  </r>
  <r>
    <n v="1253"/>
    <s v="2024-07-18"/>
    <s v="Priya"/>
    <x v="0"/>
    <x v="2"/>
    <x v="1"/>
    <n v="2"/>
    <n v="15000"/>
    <n v="30000"/>
    <s v="Net Banking"/>
    <x v="1"/>
  </r>
  <r>
    <n v="1254"/>
    <s v="2024-10-09"/>
    <s v="Rahul"/>
    <x v="1"/>
    <x v="5"/>
    <x v="2"/>
    <n v="3"/>
    <n v="150"/>
    <n v="450"/>
    <s v="Net Banking"/>
    <x v="9"/>
  </r>
  <r>
    <n v="1255"/>
    <s v="2024-10-29"/>
    <s v="Ravi"/>
    <x v="0"/>
    <x v="7"/>
    <x v="2"/>
    <n v="5"/>
    <n v="20"/>
    <n v="100"/>
    <s v="UPI"/>
    <x v="9"/>
  </r>
  <r>
    <n v="1256"/>
    <s v="2024-11-23"/>
    <s v="Amit"/>
    <x v="1"/>
    <x v="4"/>
    <x v="1"/>
    <n v="4"/>
    <n v="20000"/>
    <n v="80000"/>
    <s v="UPI"/>
    <x v="4"/>
  </r>
  <r>
    <n v="1257"/>
    <s v="2024-11-20"/>
    <s v="Neha"/>
    <x v="3"/>
    <x v="2"/>
    <x v="1"/>
    <n v="5"/>
    <n v="15000"/>
    <n v="75000"/>
    <s v="Net Banking"/>
    <x v="4"/>
  </r>
  <r>
    <n v="1258"/>
    <s v="2024-09-07"/>
    <s v="Priya"/>
    <x v="0"/>
    <x v="7"/>
    <x v="2"/>
    <n v="5"/>
    <n v="20"/>
    <n v="100"/>
    <s v="Cash"/>
    <x v="5"/>
  </r>
  <r>
    <n v="1259"/>
    <s v="2024-06-08"/>
    <s v="Kiran"/>
    <x v="3"/>
    <x v="0"/>
    <x v="0"/>
    <n v="1"/>
    <n v="8000"/>
    <n v="8000"/>
    <s v="Net Banking"/>
    <x v="6"/>
  </r>
  <r>
    <n v="1260"/>
    <s v="2024-10-23"/>
    <s v="Suresh"/>
    <x v="3"/>
    <x v="7"/>
    <x v="2"/>
    <n v="1"/>
    <n v="20"/>
    <n v="20"/>
    <s v="Net Banking"/>
    <x v="9"/>
  </r>
  <r>
    <n v="1261"/>
    <s v="2024-09-23"/>
    <s v="Rahul"/>
    <x v="1"/>
    <x v="5"/>
    <x v="2"/>
    <n v="2"/>
    <n v="150"/>
    <n v="300"/>
    <s v="Cash"/>
    <x v="5"/>
  </r>
  <r>
    <n v="1262"/>
    <s v="2024-11-25"/>
    <s v="Amit"/>
    <x v="1"/>
    <x v="5"/>
    <x v="2"/>
    <n v="2"/>
    <n v="150"/>
    <n v="300"/>
    <s v="Card"/>
    <x v="4"/>
  </r>
  <r>
    <n v="1263"/>
    <s v="2024-07-17"/>
    <s v="Ravi"/>
    <x v="2"/>
    <x v="1"/>
    <x v="0"/>
    <n v="2"/>
    <n v="4500"/>
    <n v="9000"/>
    <s v="UPI"/>
    <x v="1"/>
  </r>
  <r>
    <n v="1264"/>
    <s v="2024-03-22"/>
    <s v="Priya"/>
    <x v="1"/>
    <x v="4"/>
    <x v="1"/>
    <n v="5"/>
    <n v="20000"/>
    <n v="100000"/>
    <s v="Cash"/>
    <x v="3"/>
  </r>
  <r>
    <n v="1265"/>
    <s v="2024-12-10"/>
    <s v="Rahul"/>
    <x v="0"/>
    <x v="4"/>
    <x v="1"/>
    <n v="4"/>
    <n v="20000"/>
    <n v="80000"/>
    <s v="Cash"/>
    <x v="11"/>
  </r>
  <r>
    <n v="1266"/>
    <s v="2024-03-23"/>
    <s v="Amit"/>
    <x v="3"/>
    <x v="2"/>
    <x v="1"/>
    <n v="3"/>
    <n v="15000"/>
    <n v="45000"/>
    <s v="Cash"/>
    <x v="3"/>
  </r>
  <r>
    <n v="1267"/>
    <s v="2024-09-21"/>
    <s v="Priya"/>
    <x v="0"/>
    <x v="1"/>
    <x v="0"/>
    <n v="5"/>
    <n v="4500"/>
    <n v="22500"/>
    <s v="UPI"/>
    <x v="5"/>
  </r>
  <r>
    <n v="1268"/>
    <s v="2024-06-18"/>
    <s v="Anjali"/>
    <x v="2"/>
    <x v="2"/>
    <x v="1"/>
    <n v="4"/>
    <n v="15000"/>
    <n v="60000"/>
    <s v="UPI"/>
    <x v="6"/>
  </r>
  <r>
    <n v="1269"/>
    <s v="2024-03-09"/>
    <s v="Ravi"/>
    <x v="1"/>
    <x v="6"/>
    <x v="3"/>
    <n v="2"/>
    <n v="2000"/>
    <n v="4000"/>
    <s v="UPI"/>
    <x v="3"/>
  </r>
  <r>
    <n v="1270"/>
    <s v="2024-10-24"/>
    <s v="Ravi"/>
    <x v="2"/>
    <x v="3"/>
    <x v="1"/>
    <n v="4"/>
    <n v="55000"/>
    <n v="220000"/>
    <s v="Net Banking"/>
    <x v="9"/>
  </r>
  <r>
    <n v="1271"/>
    <s v="2024-07-31"/>
    <s v="Suresh"/>
    <x v="3"/>
    <x v="4"/>
    <x v="1"/>
    <n v="5"/>
    <n v="20000"/>
    <n v="100000"/>
    <s v="Card"/>
    <x v="1"/>
  </r>
  <r>
    <n v="1272"/>
    <s v="2024-05-31"/>
    <s v="Neha"/>
    <x v="2"/>
    <x v="3"/>
    <x v="1"/>
    <n v="3"/>
    <n v="55000"/>
    <n v="165000"/>
    <s v="UPI"/>
    <x v="7"/>
  </r>
  <r>
    <n v="1273"/>
    <s v="2024-11-09"/>
    <s v="Vikas"/>
    <x v="0"/>
    <x v="0"/>
    <x v="0"/>
    <n v="5"/>
    <n v="8000"/>
    <n v="40000"/>
    <s v="Net Banking"/>
    <x v="4"/>
  </r>
  <r>
    <n v="1274"/>
    <s v="2024-02-28"/>
    <s v="Vikas"/>
    <x v="2"/>
    <x v="0"/>
    <x v="0"/>
    <n v="1"/>
    <n v="8000"/>
    <n v="8000"/>
    <s v="Card"/>
    <x v="8"/>
  </r>
  <r>
    <n v="1275"/>
    <s v="2024-09-03"/>
    <s v="Neha"/>
    <x v="3"/>
    <x v="3"/>
    <x v="1"/>
    <n v="3"/>
    <n v="55000"/>
    <n v="165000"/>
    <s v="Net Banking"/>
    <x v="5"/>
  </r>
  <r>
    <n v="1276"/>
    <s v="2024-10-08"/>
    <s v="Pooja"/>
    <x v="0"/>
    <x v="4"/>
    <x v="1"/>
    <n v="4"/>
    <n v="20000"/>
    <n v="80000"/>
    <s v="Cash"/>
    <x v="9"/>
  </r>
  <r>
    <n v="1277"/>
    <s v="2024-10-09"/>
    <s v="Suresh"/>
    <x v="1"/>
    <x v="7"/>
    <x v="2"/>
    <n v="1"/>
    <n v="20"/>
    <n v="20"/>
    <s v="UPI"/>
    <x v="9"/>
  </r>
  <r>
    <n v="1278"/>
    <s v="2024-03-08"/>
    <s v="Anjali"/>
    <x v="2"/>
    <x v="1"/>
    <x v="0"/>
    <n v="5"/>
    <n v="4500"/>
    <n v="22500"/>
    <s v="UPI"/>
    <x v="3"/>
  </r>
  <r>
    <n v="1279"/>
    <s v="2024-01-11"/>
    <s v="Amit"/>
    <x v="3"/>
    <x v="3"/>
    <x v="1"/>
    <n v="2"/>
    <n v="55000"/>
    <n v="110000"/>
    <s v="Net Banking"/>
    <x v="0"/>
  </r>
  <r>
    <n v="1280"/>
    <s v="2024-04-21"/>
    <s v="Vikas"/>
    <x v="0"/>
    <x v="4"/>
    <x v="1"/>
    <n v="2"/>
    <n v="20000"/>
    <n v="40000"/>
    <s v="Cash"/>
    <x v="2"/>
  </r>
  <r>
    <n v="1281"/>
    <s v="2024-06-08"/>
    <s v="Anjali"/>
    <x v="1"/>
    <x v="2"/>
    <x v="1"/>
    <n v="1"/>
    <n v="15000"/>
    <n v="15000"/>
    <s v="Net Banking"/>
    <x v="6"/>
  </r>
  <r>
    <n v="1282"/>
    <s v="2024-08-14"/>
    <s v="Pooja"/>
    <x v="1"/>
    <x v="0"/>
    <x v="0"/>
    <n v="4"/>
    <n v="8000"/>
    <n v="32000"/>
    <s v="UPI"/>
    <x v="10"/>
  </r>
  <r>
    <n v="1283"/>
    <s v="2024-04-07"/>
    <s v="Ravi"/>
    <x v="1"/>
    <x v="4"/>
    <x v="1"/>
    <n v="5"/>
    <n v="20000"/>
    <n v="100000"/>
    <s v="Net Banking"/>
    <x v="2"/>
  </r>
  <r>
    <n v="1284"/>
    <s v="2024-12-06"/>
    <s v="Pooja"/>
    <x v="0"/>
    <x v="3"/>
    <x v="1"/>
    <n v="3"/>
    <n v="55000"/>
    <n v="165000"/>
    <s v="Net Banking"/>
    <x v="11"/>
  </r>
  <r>
    <n v="1285"/>
    <s v="2024-10-24"/>
    <s v="Pooja"/>
    <x v="1"/>
    <x v="1"/>
    <x v="0"/>
    <n v="4"/>
    <n v="4500"/>
    <n v="18000"/>
    <s v="Cash"/>
    <x v="9"/>
  </r>
  <r>
    <n v="1286"/>
    <s v="2024-08-06"/>
    <s v="Rahul"/>
    <x v="3"/>
    <x v="0"/>
    <x v="0"/>
    <n v="1"/>
    <n v="8000"/>
    <n v="8000"/>
    <s v="Card"/>
    <x v="10"/>
  </r>
  <r>
    <n v="1287"/>
    <s v="2024-01-09"/>
    <s v="Priya"/>
    <x v="2"/>
    <x v="2"/>
    <x v="1"/>
    <n v="5"/>
    <n v="15000"/>
    <n v="75000"/>
    <s v="Net Banking"/>
    <x v="0"/>
  </r>
  <r>
    <n v="1288"/>
    <s v="2024-11-06"/>
    <s v="Rahul"/>
    <x v="1"/>
    <x v="2"/>
    <x v="1"/>
    <n v="1"/>
    <n v="15000"/>
    <n v="15000"/>
    <s v="Cash"/>
    <x v="4"/>
  </r>
  <r>
    <n v="1289"/>
    <s v="2024-01-12"/>
    <s v="Amit"/>
    <x v="1"/>
    <x v="4"/>
    <x v="1"/>
    <n v="5"/>
    <n v="20000"/>
    <n v="100000"/>
    <s v="Card"/>
    <x v="0"/>
  </r>
  <r>
    <n v="1290"/>
    <s v="2024-11-05"/>
    <s v="Kiran"/>
    <x v="2"/>
    <x v="4"/>
    <x v="1"/>
    <n v="5"/>
    <n v="20000"/>
    <n v="100000"/>
    <s v="Card"/>
    <x v="4"/>
  </r>
  <r>
    <n v="1291"/>
    <s v="2024-05-26"/>
    <s v="Vikas"/>
    <x v="1"/>
    <x v="5"/>
    <x v="2"/>
    <n v="2"/>
    <n v="150"/>
    <n v="300"/>
    <s v="Net Banking"/>
    <x v="7"/>
  </r>
  <r>
    <n v="1292"/>
    <s v="2024-03-23"/>
    <s v="Anjali"/>
    <x v="1"/>
    <x v="1"/>
    <x v="0"/>
    <n v="1"/>
    <n v="4500"/>
    <n v="4500"/>
    <s v="Card"/>
    <x v="3"/>
  </r>
  <r>
    <n v="1293"/>
    <s v="2024-12-21"/>
    <s v="Rahul"/>
    <x v="2"/>
    <x v="3"/>
    <x v="1"/>
    <n v="1"/>
    <n v="55000"/>
    <n v="55000"/>
    <s v="Cash"/>
    <x v="11"/>
  </r>
  <r>
    <n v="1294"/>
    <s v="2024-06-11"/>
    <s v="Rahul"/>
    <x v="0"/>
    <x v="6"/>
    <x v="3"/>
    <n v="3"/>
    <n v="2000"/>
    <n v="6000"/>
    <s v="Cash"/>
    <x v="6"/>
  </r>
  <r>
    <n v="1295"/>
    <s v="2024-12-05"/>
    <s v="Neha"/>
    <x v="2"/>
    <x v="7"/>
    <x v="2"/>
    <n v="5"/>
    <n v="20"/>
    <n v="100"/>
    <s v="UPI"/>
    <x v="11"/>
  </r>
  <r>
    <n v="1296"/>
    <s v="2024-01-19"/>
    <s v="Pooja"/>
    <x v="2"/>
    <x v="7"/>
    <x v="2"/>
    <n v="3"/>
    <n v="20"/>
    <n v="60"/>
    <s v="Net Banking"/>
    <x v="0"/>
  </r>
  <r>
    <n v="1297"/>
    <s v="2024-04-07"/>
    <s v="Rahul"/>
    <x v="0"/>
    <x v="6"/>
    <x v="3"/>
    <n v="2"/>
    <n v="2000"/>
    <n v="4000"/>
    <s v="Card"/>
    <x v="2"/>
  </r>
  <r>
    <n v="1298"/>
    <s v="2024-12-03"/>
    <s v="Neha"/>
    <x v="0"/>
    <x v="2"/>
    <x v="1"/>
    <n v="5"/>
    <n v="15000"/>
    <n v="75000"/>
    <s v="Net Banking"/>
    <x v="11"/>
  </r>
  <r>
    <n v="1299"/>
    <s v="2024-07-27"/>
    <s v="Kiran"/>
    <x v="3"/>
    <x v="6"/>
    <x v="3"/>
    <n v="1"/>
    <n v="2000"/>
    <n v="2000"/>
    <s v="Cash"/>
    <x v="1"/>
  </r>
  <r>
    <n v="1300"/>
    <s v="2024-06-16"/>
    <s v="Priya"/>
    <x v="2"/>
    <x v="4"/>
    <x v="1"/>
    <n v="5"/>
    <n v="20000"/>
    <n v="100000"/>
    <s v="UPI"/>
    <x v="6"/>
  </r>
  <r>
    <n v="1301"/>
    <s v="2024-07-16"/>
    <s v="Rahul"/>
    <x v="2"/>
    <x v="2"/>
    <x v="1"/>
    <n v="2"/>
    <n v="15000"/>
    <n v="30000"/>
    <s v="Card"/>
    <x v="1"/>
  </r>
  <r>
    <n v="1302"/>
    <s v="2024-01-29"/>
    <s v="Anjali"/>
    <x v="0"/>
    <x v="0"/>
    <x v="0"/>
    <n v="2"/>
    <n v="8000"/>
    <n v="16000"/>
    <s v="UPI"/>
    <x v="0"/>
  </r>
  <r>
    <n v="1303"/>
    <s v="2024-04-08"/>
    <s v="Anjali"/>
    <x v="3"/>
    <x v="2"/>
    <x v="1"/>
    <n v="3"/>
    <n v="15000"/>
    <n v="45000"/>
    <s v="UPI"/>
    <x v="2"/>
  </r>
  <r>
    <n v="1304"/>
    <s v="2024-09-01"/>
    <s v="Ravi"/>
    <x v="2"/>
    <x v="5"/>
    <x v="2"/>
    <n v="4"/>
    <n v="150"/>
    <n v="600"/>
    <s v="UPI"/>
    <x v="5"/>
  </r>
  <r>
    <n v="1305"/>
    <s v="2024-08-12"/>
    <s v="Pooja"/>
    <x v="2"/>
    <x v="3"/>
    <x v="1"/>
    <n v="3"/>
    <n v="55000"/>
    <n v="165000"/>
    <s v="Card"/>
    <x v="10"/>
  </r>
  <r>
    <n v="1306"/>
    <s v="2024-07-12"/>
    <s v="Kiran"/>
    <x v="2"/>
    <x v="3"/>
    <x v="1"/>
    <n v="1"/>
    <n v="55000"/>
    <n v="55000"/>
    <s v="Cash"/>
    <x v="1"/>
  </r>
  <r>
    <n v="1307"/>
    <s v="2024-06-18"/>
    <s v="Amit"/>
    <x v="3"/>
    <x v="3"/>
    <x v="1"/>
    <n v="3"/>
    <n v="55000"/>
    <n v="165000"/>
    <s v="Card"/>
    <x v="6"/>
  </r>
  <r>
    <n v="1308"/>
    <s v="2024-09-04"/>
    <s v="Vikas"/>
    <x v="0"/>
    <x v="2"/>
    <x v="1"/>
    <n v="1"/>
    <n v="15000"/>
    <n v="15000"/>
    <s v="Card"/>
    <x v="5"/>
  </r>
  <r>
    <n v="1309"/>
    <s v="2024-09-19"/>
    <s v="Anjali"/>
    <x v="3"/>
    <x v="4"/>
    <x v="1"/>
    <n v="4"/>
    <n v="20000"/>
    <n v="80000"/>
    <s v="Cash"/>
    <x v="5"/>
  </r>
  <r>
    <n v="1310"/>
    <s v="2024-01-06"/>
    <s v="Rahul"/>
    <x v="2"/>
    <x v="4"/>
    <x v="1"/>
    <n v="1"/>
    <n v="20000"/>
    <n v="20000"/>
    <s v="UPI"/>
    <x v="0"/>
  </r>
  <r>
    <n v="1311"/>
    <s v="2024-02-09"/>
    <s v="Pooja"/>
    <x v="2"/>
    <x v="0"/>
    <x v="0"/>
    <n v="5"/>
    <n v="8000"/>
    <n v="40000"/>
    <s v="UPI"/>
    <x v="8"/>
  </r>
  <r>
    <n v="1312"/>
    <s v="2024-02-16"/>
    <s v="Amit"/>
    <x v="1"/>
    <x v="0"/>
    <x v="0"/>
    <n v="1"/>
    <n v="8000"/>
    <n v="8000"/>
    <s v="UPI"/>
    <x v="8"/>
  </r>
  <r>
    <n v="1313"/>
    <s v="2024-11-07"/>
    <s v="Neha"/>
    <x v="3"/>
    <x v="0"/>
    <x v="0"/>
    <n v="2"/>
    <n v="8000"/>
    <n v="16000"/>
    <s v="Net Banking"/>
    <x v="4"/>
  </r>
  <r>
    <n v="1314"/>
    <s v="2024-02-10"/>
    <s v="Kiran"/>
    <x v="1"/>
    <x v="3"/>
    <x v="1"/>
    <n v="4"/>
    <n v="55000"/>
    <n v="220000"/>
    <s v="Card"/>
    <x v="8"/>
  </r>
  <r>
    <n v="1315"/>
    <s v="2024-02-12"/>
    <s v="Priya"/>
    <x v="2"/>
    <x v="5"/>
    <x v="2"/>
    <n v="1"/>
    <n v="150"/>
    <n v="150"/>
    <s v="Cash"/>
    <x v="8"/>
  </r>
  <r>
    <n v="1316"/>
    <s v="2024-09-16"/>
    <s v="Rahul"/>
    <x v="2"/>
    <x v="0"/>
    <x v="0"/>
    <n v="1"/>
    <n v="8000"/>
    <n v="8000"/>
    <s v="Net Banking"/>
    <x v="5"/>
  </r>
  <r>
    <n v="1317"/>
    <s v="2024-06-27"/>
    <s v="Amit"/>
    <x v="1"/>
    <x v="4"/>
    <x v="1"/>
    <n v="4"/>
    <n v="20000"/>
    <n v="80000"/>
    <s v="Net Banking"/>
    <x v="6"/>
  </r>
  <r>
    <n v="1318"/>
    <s v="2024-10-21"/>
    <s v="Vikas"/>
    <x v="0"/>
    <x v="6"/>
    <x v="3"/>
    <n v="3"/>
    <n v="2000"/>
    <n v="6000"/>
    <s v="Card"/>
    <x v="9"/>
  </r>
  <r>
    <n v="1319"/>
    <s v="2024-11-15"/>
    <s v="Kiran"/>
    <x v="2"/>
    <x v="4"/>
    <x v="1"/>
    <n v="2"/>
    <n v="20000"/>
    <n v="40000"/>
    <s v="Card"/>
    <x v="4"/>
  </r>
  <r>
    <n v="1320"/>
    <s v="2024-12-28"/>
    <s v="Anjali"/>
    <x v="2"/>
    <x v="6"/>
    <x v="3"/>
    <n v="5"/>
    <n v="2000"/>
    <n v="10000"/>
    <s v="Net Banking"/>
    <x v="11"/>
  </r>
  <r>
    <n v="1321"/>
    <s v="2024-06-16"/>
    <s v="Priya"/>
    <x v="3"/>
    <x v="4"/>
    <x v="1"/>
    <n v="2"/>
    <n v="20000"/>
    <n v="40000"/>
    <s v="UPI"/>
    <x v="6"/>
  </r>
  <r>
    <n v="1322"/>
    <s v="2024-02-21"/>
    <s v="Neha"/>
    <x v="1"/>
    <x v="6"/>
    <x v="3"/>
    <n v="5"/>
    <n v="2000"/>
    <n v="10000"/>
    <s v="Card"/>
    <x v="8"/>
  </r>
  <r>
    <n v="1323"/>
    <s v="2024-01-09"/>
    <s v="Rahul"/>
    <x v="1"/>
    <x v="7"/>
    <x v="2"/>
    <n v="5"/>
    <n v="20"/>
    <n v="100"/>
    <s v="Card"/>
    <x v="0"/>
  </r>
  <r>
    <n v="1324"/>
    <s v="2024-01-05"/>
    <s v="Rahul"/>
    <x v="2"/>
    <x v="3"/>
    <x v="1"/>
    <n v="5"/>
    <n v="55000"/>
    <n v="275000"/>
    <s v="UPI"/>
    <x v="0"/>
  </r>
  <r>
    <n v="1325"/>
    <s v="2024-06-05"/>
    <s v="Pooja"/>
    <x v="2"/>
    <x v="0"/>
    <x v="0"/>
    <n v="2"/>
    <n v="8000"/>
    <n v="16000"/>
    <s v="Net Banking"/>
    <x v="6"/>
  </r>
  <r>
    <n v="1326"/>
    <s v="2024-03-16"/>
    <s v="Ravi"/>
    <x v="1"/>
    <x v="2"/>
    <x v="1"/>
    <n v="3"/>
    <n v="15000"/>
    <n v="45000"/>
    <s v="Net Banking"/>
    <x v="3"/>
  </r>
  <r>
    <n v="1327"/>
    <s v="2024-11-27"/>
    <s v="Kiran"/>
    <x v="0"/>
    <x v="5"/>
    <x v="2"/>
    <n v="1"/>
    <n v="150"/>
    <n v="150"/>
    <s v="Card"/>
    <x v="4"/>
  </r>
  <r>
    <n v="1328"/>
    <s v="2024-03-17"/>
    <s v="Vikas"/>
    <x v="0"/>
    <x v="7"/>
    <x v="2"/>
    <n v="1"/>
    <n v="20"/>
    <n v="20"/>
    <s v="UPI"/>
    <x v="3"/>
  </r>
  <r>
    <n v="1329"/>
    <s v="2024-11-29"/>
    <s v="Vikas"/>
    <x v="2"/>
    <x v="6"/>
    <x v="3"/>
    <n v="2"/>
    <n v="2000"/>
    <n v="4000"/>
    <s v="Cash"/>
    <x v="4"/>
  </r>
  <r>
    <n v="1330"/>
    <s v="2024-03-09"/>
    <s v="Kiran"/>
    <x v="3"/>
    <x v="1"/>
    <x v="0"/>
    <n v="1"/>
    <n v="4500"/>
    <n v="4500"/>
    <s v="Cash"/>
    <x v="3"/>
  </r>
  <r>
    <n v="1331"/>
    <s v="2024-09-23"/>
    <s v="Ravi"/>
    <x v="0"/>
    <x v="1"/>
    <x v="0"/>
    <n v="4"/>
    <n v="4500"/>
    <n v="18000"/>
    <s v="Cash"/>
    <x v="5"/>
  </r>
  <r>
    <n v="1332"/>
    <s v="2024-04-22"/>
    <s v="Rahul"/>
    <x v="1"/>
    <x v="5"/>
    <x v="2"/>
    <n v="1"/>
    <n v="150"/>
    <n v="150"/>
    <s v="Net Banking"/>
    <x v="2"/>
  </r>
  <r>
    <n v="1333"/>
    <s v="2024-10-10"/>
    <s v="Priya"/>
    <x v="2"/>
    <x v="5"/>
    <x v="2"/>
    <n v="5"/>
    <n v="150"/>
    <n v="750"/>
    <s v="UPI"/>
    <x v="9"/>
  </r>
  <r>
    <n v="1334"/>
    <s v="2024-08-25"/>
    <s v="Anjali"/>
    <x v="3"/>
    <x v="7"/>
    <x v="2"/>
    <n v="1"/>
    <n v="20"/>
    <n v="20"/>
    <s v="Cash"/>
    <x v="10"/>
  </r>
  <r>
    <n v="1335"/>
    <s v="2024-03-03"/>
    <s v="Pooja"/>
    <x v="3"/>
    <x v="2"/>
    <x v="1"/>
    <n v="4"/>
    <n v="15000"/>
    <n v="60000"/>
    <s v="UPI"/>
    <x v="3"/>
  </r>
  <r>
    <n v="1336"/>
    <s v="2024-05-31"/>
    <s v="Priya"/>
    <x v="3"/>
    <x v="3"/>
    <x v="1"/>
    <n v="1"/>
    <n v="55000"/>
    <n v="55000"/>
    <s v="Card"/>
    <x v="7"/>
  </r>
  <r>
    <n v="1337"/>
    <s v="2024-07-07"/>
    <s v="Pooja"/>
    <x v="3"/>
    <x v="2"/>
    <x v="1"/>
    <n v="4"/>
    <n v="15000"/>
    <n v="60000"/>
    <s v="Cash"/>
    <x v="1"/>
  </r>
  <r>
    <n v="1338"/>
    <s v="2024-02-01"/>
    <s v="Amit"/>
    <x v="2"/>
    <x v="7"/>
    <x v="2"/>
    <n v="3"/>
    <n v="20"/>
    <n v="60"/>
    <s v="Card"/>
    <x v="8"/>
  </r>
  <r>
    <n v="1339"/>
    <s v="2024-01-03"/>
    <s v="Pooja"/>
    <x v="2"/>
    <x v="7"/>
    <x v="2"/>
    <n v="5"/>
    <n v="20"/>
    <n v="100"/>
    <s v="Card"/>
    <x v="0"/>
  </r>
  <r>
    <n v="1340"/>
    <s v="2024-06-16"/>
    <s v="Amit"/>
    <x v="3"/>
    <x v="3"/>
    <x v="1"/>
    <n v="4"/>
    <n v="55000"/>
    <n v="220000"/>
    <s v="UPI"/>
    <x v="6"/>
  </r>
  <r>
    <n v="1341"/>
    <s v="2024-08-21"/>
    <s v="Amit"/>
    <x v="0"/>
    <x v="5"/>
    <x v="2"/>
    <n v="5"/>
    <n v="150"/>
    <n v="750"/>
    <s v="Net Banking"/>
    <x v="10"/>
  </r>
  <r>
    <n v="1342"/>
    <s v="2024-04-29"/>
    <s v="Neha"/>
    <x v="2"/>
    <x v="4"/>
    <x v="1"/>
    <n v="2"/>
    <n v="20000"/>
    <n v="40000"/>
    <s v="Card"/>
    <x v="2"/>
  </r>
  <r>
    <n v="1343"/>
    <s v="2024-02-19"/>
    <s v="Anjali"/>
    <x v="2"/>
    <x v="2"/>
    <x v="1"/>
    <n v="1"/>
    <n v="15000"/>
    <n v="15000"/>
    <s v="Card"/>
    <x v="8"/>
  </r>
  <r>
    <n v="1344"/>
    <s v="2024-02-01"/>
    <s v="Suresh"/>
    <x v="2"/>
    <x v="0"/>
    <x v="0"/>
    <n v="2"/>
    <n v="8000"/>
    <n v="16000"/>
    <s v="Cash"/>
    <x v="8"/>
  </r>
  <r>
    <n v="1345"/>
    <s v="2024-09-18"/>
    <s v="Ravi"/>
    <x v="3"/>
    <x v="2"/>
    <x v="1"/>
    <n v="4"/>
    <n v="15000"/>
    <n v="60000"/>
    <s v="Card"/>
    <x v="5"/>
  </r>
  <r>
    <n v="1346"/>
    <s v="2024-07-06"/>
    <s v="Priya"/>
    <x v="0"/>
    <x v="7"/>
    <x v="2"/>
    <n v="2"/>
    <n v="20"/>
    <n v="40"/>
    <s v="UPI"/>
    <x v="1"/>
  </r>
  <r>
    <n v="1347"/>
    <s v="2024-07-30"/>
    <s v="Suresh"/>
    <x v="0"/>
    <x v="4"/>
    <x v="1"/>
    <n v="4"/>
    <n v="20000"/>
    <n v="80000"/>
    <s v="Net Banking"/>
    <x v="1"/>
  </r>
  <r>
    <n v="1348"/>
    <s v="2024-07-08"/>
    <s v="Rahul"/>
    <x v="3"/>
    <x v="2"/>
    <x v="1"/>
    <n v="1"/>
    <n v="15000"/>
    <n v="15000"/>
    <s v="Cash"/>
    <x v="1"/>
  </r>
  <r>
    <n v="1349"/>
    <s v="2024-08-18"/>
    <s v="Suresh"/>
    <x v="2"/>
    <x v="1"/>
    <x v="0"/>
    <n v="2"/>
    <n v="4500"/>
    <n v="9000"/>
    <s v="Card"/>
    <x v="10"/>
  </r>
  <r>
    <n v="1350"/>
    <s v="2024-03-23"/>
    <s v="Neha"/>
    <x v="3"/>
    <x v="7"/>
    <x v="2"/>
    <n v="2"/>
    <n v="20"/>
    <n v="40"/>
    <s v="Cash"/>
    <x v="3"/>
  </r>
  <r>
    <n v="1351"/>
    <s v="2024-04-21"/>
    <s v="Neha"/>
    <x v="1"/>
    <x v="5"/>
    <x v="2"/>
    <n v="1"/>
    <n v="150"/>
    <n v="150"/>
    <s v="Cash"/>
    <x v="2"/>
  </r>
  <r>
    <n v="1352"/>
    <s v="2024-08-13"/>
    <s v="Ravi"/>
    <x v="2"/>
    <x v="3"/>
    <x v="1"/>
    <n v="3"/>
    <n v="55000"/>
    <n v="165000"/>
    <s v="Cash"/>
    <x v="10"/>
  </r>
  <r>
    <n v="1353"/>
    <s v="2024-03-10"/>
    <s v="Suresh"/>
    <x v="1"/>
    <x v="2"/>
    <x v="1"/>
    <n v="5"/>
    <n v="15000"/>
    <n v="75000"/>
    <s v="Net Banking"/>
    <x v="3"/>
  </r>
  <r>
    <n v="1354"/>
    <s v="2024-09-05"/>
    <s v="Vikas"/>
    <x v="1"/>
    <x v="3"/>
    <x v="1"/>
    <n v="5"/>
    <n v="55000"/>
    <n v="275000"/>
    <s v="Net Banking"/>
    <x v="5"/>
  </r>
  <r>
    <n v="1355"/>
    <s v="2024-02-12"/>
    <s v="Vikas"/>
    <x v="3"/>
    <x v="2"/>
    <x v="1"/>
    <n v="4"/>
    <n v="15000"/>
    <n v="60000"/>
    <s v="Card"/>
    <x v="8"/>
  </r>
  <r>
    <n v="1356"/>
    <s v="2024-10-08"/>
    <s v="Kiran"/>
    <x v="3"/>
    <x v="2"/>
    <x v="1"/>
    <n v="5"/>
    <n v="15000"/>
    <n v="75000"/>
    <s v="Net Banking"/>
    <x v="9"/>
  </r>
  <r>
    <n v="1357"/>
    <s v="2024-03-23"/>
    <s v="Ravi"/>
    <x v="2"/>
    <x v="2"/>
    <x v="1"/>
    <n v="3"/>
    <n v="15000"/>
    <n v="45000"/>
    <s v="Card"/>
    <x v="3"/>
  </r>
  <r>
    <n v="1358"/>
    <s v="2024-10-17"/>
    <s v="Neha"/>
    <x v="2"/>
    <x v="3"/>
    <x v="1"/>
    <n v="1"/>
    <n v="55000"/>
    <n v="55000"/>
    <s v="Card"/>
    <x v="9"/>
  </r>
  <r>
    <n v="1359"/>
    <s v="2024-08-17"/>
    <s v="Priya"/>
    <x v="1"/>
    <x v="3"/>
    <x v="1"/>
    <n v="5"/>
    <n v="55000"/>
    <n v="275000"/>
    <s v="Card"/>
    <x v="10"/>
  </r>
  <r>
    <n v="1360"/>
    <s v="2024-03-01"/>
    <s v="Rahul"/>
    <x v="3"/>
    <x v="1"/>
    <x v="0"/>
    <n v="1"/>
    <n v="4500"/>
    <n v="4500"/>
    <s v="UPI"/>
    <x v="3"/>
  </r>
  <r>
    <n v="1361"/>
    <s v="2024-05-23"/>
    <s v="Amit"/>
    <x v="2"/>
    <x v="7"/>
    <x v="2"/>
    <n v="4"/>
    <n v="20"/>
    <n v="80"/>
    <s v="Card"/>
    <x v="7"/>
  </r>
  <r>
    <n v="1362"/>
    <s v="2024-12-29"/>
    <s v="Ravi"/>
    <x v="2"/>
    <x v="6"/>
    <x v="3"/>
    <n v="1"/>
    <n v="2000"/>
    <n v="2000"/>
    <s v="UPI"/>
    <x v="11"/>
  </r>
  <r>
    <n v="1363"/>
    <s v="2024-12-18"/>
    <s v="Suresh"/>
    <x v="2"/>
    <x v="5"/>
    <x v="2"/>
    <n v="5"/>
    <n v="150"/>
    <n v="750"/>
    <s v="Card"/>
    <x v="11"/>
  </r>
  <r>
    <n v="1364"/>
    <s v="2024-01-07"/>
    <s v="Kiran"/>
    <x v="0"/>
    <x v="1"/>
    <x v="0"/>
    <n v="4"/>
    <n v="4500"/>
    <n v="18000"/>
    <s v="Cash"/>
    <x v="0"/>
  </r>
  <r>
    <n v="1365"/>
    <s v="2024-11-23"/>
    <s v="Ravi"/>
    <x v="1"/>
    <x v="3"/>
    <x v="1"/>
    <n v="4"/>
    <n v="55000"/>
    <n v="220000"/>
    <s v="Net Banking"/>
    <x v="4"/>
  </r>
  <r>
    <n v="1366"/>
    <s v="2024-11-26"/>
    <s v="Amit"/>
    <x v="3"/>
    <x v="1"/>
    <x v="0"/>
    <n v="4"/>
    <n v="4500"/>
    <n v="18000"/>
    <s v="UPI"/>
    <x v="4"/>
  </r>
  <r>
    <n v="1367"/>
    <s v="2024-01-22"/>
    <s v="Ravi"/>
    <x v="0"/>
    <x v="1"/>
    <x v="0"/>
    <n v="2"/>
    <n v="4500"/>
    <n v="9000"/>
    <s v="Card"/>
    <x v="0"/>
  </r>
  <r>
    <n v="1368"/>
    <s v="2024-04-19"/>
    <s v="Vikas"/>
    <x v="0"/>
    <x v="0"/>
    <x v="0"/>
    <n v="1"/>
    <n v="8000"/>
    <n v="8000"/>
    <s v="Card"/>
    <x v="2"/>
  </r>
  <r>
    <n v="1369"/>
    <s v="2024-07-01"/>
    <s v="Priya"/>
    <x v="1"/>
    <x v="0"/>
    <x v="0"/>
    <n v="3"/>
    <n v="8000"/>
    <n v="24000"/>
    <s v="UPI"/>
    <x v="1"/>
  </r>
  <r>
    <n v="1370"/>
    <s v="2024-01-06"/>
    <s v="Amit"/>
    <x v="3"/>
    <x v="2"/>
    <x v="1"/>
    <n v="4"/>
    <n v="15000"/>
    <n v="60000"/>
    <s v="Net Banking"/>
    <x v="0"/>
  </r>
  <r>
    <n v="1371"/>
    <s v="2024-10-13"/>
    <s v="Pooja"/>
    <x v="0"/>
    <x v="0"/>
    <x v="0"/>
    <n v="1"/>
    <n v="8000"/>
    <n v="8000"/>
    <s v="Cash"/>
    <x v="9"/>
  </r>
  <r>
    <n v="1372"/>
    <s v="2024-12-20"/>
    <s v="Amit"/>
    <x v="2"/>
    <x v="4"/>
    <x v="1"/>
    <n v="5"/>
    <n v="20000"/>
    <n v="100000"/>
    <s v="UPI"/>
    <x v="11"/>
  </r>
  <r>
    <n v="1373"/>
    <s v="2024-09-15"/>
    <s v="Neha"/>
    <x v="0"/>
    <x v="5"/>
    <x v="2"/>
    <n v="3"/>
    <n v="150"/>
    <n v="450"/>
    <s v="UPI"/>
    <x v="5"/>
  </r>
  <r>
    <n v="1374"/>
    <s v="2024-04-20"/>
    <s v="Amit"/>
    <x v="0"/>
    <x v="2"/>
    <x v="1"/>
    <n v="3"/>
    <n v="15000"/>
    <n v="45000"/>
    <s v="Net Banking"/>
    <x v="2"/>
  </r>
  <r>
    <n v="1375"/>
    <s v="2024-05-11"/>
    <s v="Suresh"/>
    <x v="1"/>
    <x v="7"/>
    <x v="2"/>
    <n v="3"/>
    <n v="20"/>
    <n v="60"/>
    <s v="Net Banking"/>
    <x v="7"/>
  </r>
  <r>
    <n v="1376"/>
    <s v="2024-02-24"/>
    <s v="Kiran"/>
    <x v="1"/>
    <x v="0"/>
    <x v="0"/>
    <n v="3"/>
    <n v="8000"/>
    <n v="24000"/>
    <s v="UPI"/>
    <x v="8"/>
  </r>
  <r>
    <n v="1377"/>
    <s v="2024-12-24"/>
    <s v="Amit"/>
    <x v="1"/>
    <x v="3"/>
    <x v="1"/>
    <n v="4"/>
    <n v="55000"/>
    <n v="220000"/>
    <s v="Net Banking"/>
    <x v="11"/>
  </r>
  <r>
    <n v="1378"/>
    <s v="2024-07-31"/>
    <s v="Anjali"/>
    <x v="2"/>
    <x v="6"/>
    <x v="3"/>
    <n v="3"/>
    <n v="2000"/>
    <n v="6000"/>
    <s v="Card"/>
    <x v="1"/>
  </r>
  <r>
    <n v="1379"/>
    <s v="2024-02-25"/>
    <s v="Priya"/>
    <x v="2"/>
    <x v="0"/>
    <x v="0"/>
    <n v="3"/>
    <n v="8000"/>
    <n v="24000"/>
    <s v="Cash"/>
    <x v="8"/>
  </r>
  <r>
    <n v="1380"/>
    <s v="2024-11-25"/>
    <s v="Priya"/>
    <x v="3"/>
    <x v="2"/>
    <x v="1"/>
    <n v="1"/>
    <n v="15000"/>
    <n v="15000"/>
    <s v="Cash"/>
    <x v="4"/>
  </r>
  <r>
    <n v="1381"/>
    <s v="2024-02-08"/>
    <s v="Vikas"/>
    <x v="1"/>
    <x v="3"/>
    <x v="1"/>
    <n v="5"/>
    <n v="55000"/>
    <n v="275000"/>
    <s v="Net Banking"/>
    <x v="8"/>
  </r>
  <r>
    <n v="1382"/>
    <s v="2024-10-26"/>
    <s v="Neha"/>
    <x v="1"/>
    <x v="4"/>
    <x v="1"/>
    <n v="5"/>
    <n v="20000"/>
    <n v="100000"/>
    <s v="UPI"/>
    <x v="9"/>
  </r>
  <r>
    <n v="1383"/>
    <s v="2024-12-01"/>
    <s v="Priya"/>
    <x v="0"/>
    <x v="4"/>
    <x v="1"/>
    <n v="4"/>
    <n v="20000"/>
    <n v="80000"/>
    <s v="Card"/>
    <x v="11"/>
  </r>
  <r>
    <n v="1384"/>
    <s v="2024-05-22"/>
    <s v="Anjali"/>
    <x v="1"/>
    <x v="0"/>
    <x v="0"/>
    <n v="1"/>
    <n v="8000"/>
    <n v="8000"/>
    <s v="Card"/>
    <x v="7"/>
  </r>
  <r>
    <n v="1385"/>
    <s v="2024-09-05"/>
    <s v="Neha"/>
    <x v="3"/>
    <x v="4"/>
    <x v="1"/>
    <n v="2"/>
    <n v="20000"/>
    <n v="40000"/>
    <s v="UPI"/>
    <x v="5"/>
  </r>
  <r>
    <n v="1386"/>
    <s v="2024-05-16"/>
    <s v="Rahul"/>
    <x v="3"/>
    <x v="2"/>
    <x v="1"/>
    <n v="2"/>
    <n v="15000"/>
    <n v="30000"/>
    <s v="Net Banking"/>
    <x v="7"/>
  </r>
  <r>
    <n v="1387"/>
    <s v="2024-05-11"/>
    <s v="Ravi"/>
    <x v="3"/>
    <x v="2"/>
    <x v="1"/>
    <n v="5"/>
    <n v="15000"/>
    <n v="75000"/>
    <s v="UPI"/>
    <x v="7"/>
  </r>
  <r>
    <n v="1388"/>
    <s v="2024-01-02"/>
    <s v="Rahul"/>
    <x v="3"/>
    <x v="5"/>
    <x v="2"/>
    <n v="2"/>
    <n v="150"/>
    <n v="300"/>
    <s v="Net Banking"/>
    <x v="0"/>
  </r>
  <r>
    <n v="1389"/>
    <s v="2024-02-18"/>
    <s v="Anjali"/>
    <x v="3"/>
    <x v="6"/>
    <x v="3"/>
    <n v="1"/>
    <n v="2000"/>
    <n v="2000"/>
    <s v="Card"/>
    <x v="8"/>
  </r>
  <r>
    <n v="1390"/>
    <s v="2024-06-22"/>
    <s v="Pooja"/>
    <x v="0"/>
    <x v="2"/>
    <x v="1"/>
    <n v="2"/>
    <n v="15000"/>
    <n v="30000"/>
    <s v="Card"/>
    <x v="6"/>
  </r>
  <r>
    <n v="1391"/>
    <s v="2024-10-26"/>
    <s v="Rahul"/>
    <x v="0"/>
    <x v="0"/>
    <x v="0"/>
    <n v="3"/>
    <n v="8000"/>
    <n v="24000"/>
    <s v="UPI"/>
    <x v="9"/>
  </r>
  <r>
    <n v="1392"/>
    <s v="2024-04-07"/>
    <s v="Ravi"/>
    <x v="2"/>
    <x v="1"/>
    <x v="0"/>
    <n v="2"/>
    <n v="4500"/>
    <n v="9000"/>
    <s v="UPI"/>
    <x v="2"/>
  </r>
  <r>
    <n v="1393"/>
    <s v="2024-12-12"/>
    <s v="Priya"/>
    <x v="3"/>
    <x v="0"/>
    <x v="0"/>
    <n v="2"/>
    <n v="8000"/>
    <n v="16000"/>
    <s v="Card"/>
    <x v="11"/>
  </r>
  <r>
    <n v="1394"/>
    <s v="2024-01-17"/>
    <s v="Ravi"/>
    <x v="1"/>
    <x v="3"/>
    <x v="1"/>
    <n v="5"/>
    <n v="55000"/>
    <n v="275000"/>
    <s v="Card"/>
    <x v="0"/>
  </r>
  <r>
    <n v="1395"/>
    <s v="2024-02-06"/>
    <s v="Neha"/>
    <x v="2"/>
    <x v="7"/>
    <x v="2"/>
    <n v="1"/>
    <n v="20"/>
    <n v="20"/>
    <s v="Cash"/>
    <x v="8"/>
  </r>
  <r>
    <n v="1396"/>
    <s v="2024-10-01"/>
    <s v="Rahul"/>
    <x v="0"/>
    <x v="5"/>
    <x v="2"/>
    <n v="3"/>
    <n v="150"/>
    <n v="450"/>
    <s v="Net Banking"/>
    <x v="9"/>
  </r>
  <r>
    <n v="1397"/>
    <s v="2024-08-10"/>
    <s v="Neha"/>
    <x v="2"/>
    <x v="3"/>
    <x v="1"/>
    <n v="2"/>
    <n v="55000"/>
    <n v="110000"/>
    <s v="Cash"/>
    <x v="10"/>
  </r>
  <r>
    <n v="1398"/>
    <s v="2024-07-25"/>
    <s v="Anjali"/>
    <x v="0"/>
    <x v="2"/>
    <x v="1"/>
    <n v="2"/>
    <n v="15000"/>
    <n v="30000"/>
    <s v="Cash"/>
    <x v="1"/>
  </r>
  <r>
    <n v="1399"/>
    <s v="2024-11-07"/>
    <s v="Pooja"/>
    <x v="2"/>
    <x v="5"/>
    <x v="2"/>
    <n v="1"/>
    <n v="150"/>
    <n v="150"/>
    <s v="Card"/>
    <x v="4"/>
  </r>
  <r>
    <n v="1400"/>
    <s v="2024-09-05"/>
    <s v="Priya"/>
    <x v="1"/>
    <x v="6"/>
    <x v="3"/>
    <n v="2"/>
    <n v="2000"/>
    <n v="4000"/>
    <s v="Net Banking"/>
    <x v="5"/>
  </r>
  <r>
    <n v="1401"/>
    <s v="2024-11-25"/>
    <s v="Amit"/>
    <x v="3"/>
    <x v="2"/>
    <x v="1"/>
    <n v="4"/>
    <n v="15000"/>
    <n v="60000"/>
    <s v="Cash"/>
    <x v="4"/>
  </r>
  <r>
    <n v="1402"/>
    <s v="2024-04-27"/>
    <s v="Priya"/>
    <x v="3"/>
    <x v="6"/>
    <x v="3"/>
    <n v="2"/>
    <n v="2000"/>
    <n v="4000"/>
    <s v="Card"/>
    <x v="2"/>
  </r>
  <r>
    <n v="1403"/>
    <s v="2024-12-10"/>
    <s v="Priya"/>
    <x v="2"/>
    <x v="3"/>
    <x v="1"/>
    <n v="2"/>
    <n v="55000"/>
    <n v="110000"/>
    <s v="Card"/>
    <x v="11"/>
  </r>
  <r>
    <n v="1404"/>
    <s v="2024-12-25"/>
    <s v="Amit"/>
    <x v="1"/>
    <x v="1"/>
    <x v="0"/>
    <n v="3"/>
    <n v="4500"/>
    <n v="13500"/>
    <s v="Cash"/>
    <x v="11"/>
  </r>
  <r>
    <n v="1405"/>
    <s v="2024-03-15"/>
    <s v="Rahul"/>
    <x v="3"/>
    <x v="4"/>
    <x v="1"/>
    <n v="1"/>
    <n v="20000"/>
    <n v="20000"/>
    <s v="Net Banking"/>
    <x v="3"/>
  </r>
  <r>
    <n v="1406"/>
    <s v="2024-01-15"/>
    <s v="Suresh"/>
    <x v="0"/>
    <x v="7"/>
    <x v="2"/>
    <n v="2"/>
    <n v="20"/>
    <n v="40"/>
    <s v="Cash"/>
    <x v="0"/>
  </r>
  <r>
    <n v="1407"/>
    <s v="2024-01-05"/>
    <s v="Priya"/>
    <x v="1"/>
    <x v="0"/>
    <x v="0"/>
    <n v="3"/>
    <n v="8000"/>
    <n v="24000"/>
    <s v="Cash"/>
    <x v="0"/>
  </r>
  <r>
    <n v="1408"/>
    <s v="2024-02-12"/>
    <s v="Pooja"/>
    <x v="3"/>
    <x v="3"/>
    <x v="1"/>
    <n v="3"/>
    <n v="55000"/>
    <n v="165000"/>
    <s v="Card"/>
    <x v="8"/>
  </r>
  <r>
    <n v="1409"/>
    <s v="2024-04-23"/>
    <s v="Kiran"/>
    <x v="1"/>
    <x v="7"/>
    <x v="2"/>
    <n v="3"/>
    <n v="20"/>
    <n v="60"/>
    <s v="Card"/>
    <x v="2"/>
  </r>
  <r>
    <n v="1410"/>
    <s v="2024-07-07"/>
    <s v="Kiran"/>
    <x v="3"/>
    <x v="6"/>
    <x v="3"/>
    <n v="4"/>
    <n v="2000"/>
    <n v="8000"/>
    <s v="Card"/>
    <x v="1"/>
  </r>
  <r>
    <n v="1411"/>
    <s v="2024-12-25"/>
    <s v="Amit"/>
    <x v="1"/>
    <x v="1"/>
    <x v="0"/>
    <n v="3"/>
    <n v="4500"/>
    <n v="13500"/>
    <s v="UPI"/>
    <x v="11"/>
  </r>
  <r>
    <n v="1412"/>
    <s v="2024-03-02"/>
    <s v="Neha"/>
    <x v="0"/>
    <x v="6"/>
    <x v="3"/>
    <n v="1"/>
    <n v="2000"/>
    <n v="2000"/>
    <s v="Card"/>
    <x v="3"/>
  </r>
  <r>
    <n v="1413"/>
    <s v="2024-01-01"/>
    <s v="Kiran"/>
    <x v="0"/>
    <x v="6"/>
    <x v="3"/>
    <n v="4"/>
    <n v="2000"/>
    <n v="8000"/>
    <s v="Cash"/>
    <x v="0"/>
  </r>
  <r>
    <n v="1414"/>
    <s v="2024-01-12"/>
    <s v="Ravi"/>
    <x v="2"/>
    <x v="3"/>
    <x v="1"/>
    <n v="3"/>
    <n v="55000"/>
    <n v="165000"/>
    <s v="Card"/>
    <x v="0"/>
  </r>
  <r>
    <n v="1415"/>
    <s v="2024-03-26"/>
    <s v="Priya"/>
    <x v="1"/>
    <x v="6"/>
    <x v="3"/>
    <n v="5"/>
    <n v="2000"/>
    <n v="10000"/>
    <s v="Cash"/>
    <x v="3"/>
  </r>
  <r>
    <n v="1416"/>
    <s v="2024-09-13"/>
    <s v="Vikas"/>
    <x v="2"/>
    <x v="5"/>
    <x v="2"/>
    <n v="2"/>
    <n v="150"/>
    <n v="300"/>
    <s v="UPI"/>
    <x v="5"/>
  </r>
  <r>
    <n v="1417"/>
    <s v="2024-04-06"/>
    <s v="Amit"/>
    <x v="1"/>
    <x v="0"/>
    <x v="0"/>
    <n v="4"/>
    <n v="8000"/>
    <n v="32000"/>
    <s v="Net Banking"/>
    <x v="2"/>
  </r>
  <r>
    <n v="1418"/>
    <s v="2024-01-12"/>
    <s v="Vikas"/>
    <x v="1"/>
    <x v="2"/>
    <x v="1"/>
    <n v="1"/>
    <n v="15000"/>
    <n v="15000"/>
    <s v="Cash"/>
    <x v="0"/>
  </r>
  <r>
    <n v="1419"/>
    <s v="2024-06-30"/>
    <s v="Vikas"/>
    <x v="3"/>
    <x v="7"/>
    <x v="2"/>
    <n v="4"/>
    <n v="20"/>
    <n v="80"/>
    <s v="UPI"/>
    <x v="6"/>
  </r>
  <r>
    <n v="1420"/>
    <s v="2024-10-16"/>
    <s v="Rahul"/>
    <x v="3"/>
    <x v="4"/>
    <x v="1"/>
    <n v="1"/>
    <n v="20000"/>
    <n v="20000"/>
    <s v="Net Banking"/>
    <x v="9"/>
  </r>
  <r>
    <n v="1421"/>
    <s v="2024-11-13"/>
    <s v="Ravi"/>
    <x v="2"/>
    <x v="3"/>
    <x v="1"/>
    <n v="3"/>
    <n v="55000"/>
    <n v="165000"/>
    <s v="Net Banking"/>
    <x v="4"/>
  </r>
  <r>
    <n v="1422"/>
    <s v="2024-09-04"/>
    <s v="Suresh"/>
    <x v="1"/>
    <x v="1"/>
    <x v="0"/>
    <n v="3"/>
    <n v="4500"/>
    <n v="13500"/>
    <s v="UPI"/>
    <x v="5"/>
  </r>
  <r>
    <n v="1423"/>
    <s v="2024-03-29"/>
    <s v="Kiran"/>
    <x v="0"/>
    <x v="3"/>
    <x v="1"/>
    <n v="1"/>
    <n v="55000"/>
    <n v="55000"/>
    <s v="UPI"/>
    <x v="3"/>
  </r>
  <r>
    <n v="1424"/>
    <s v="2024-07-16"/>
    <s v="Pooja"/>
    <x v="3"/>
    <x v="6"/>
    <x v="3"/>
    <n v="4"/>
    <n v="2000"/>
    <n v="8000"/>
    <s v="Card"/>
    <x v="1"/>
  </r>
  <r>
    <n v="1425"/>
    <s v="2024-01-05"/>
    <s v="Pooja"/>
    <x v="3"/>
    <x v="0"/>
    <x v="0"/>
    <n v="5"/>
    <n v="8000"/>
    <n v="40000"/>
    <s v="Cash"/>
    <x v="0"/>
  </r>
  <r>
    <n v="1426"/>
    <s v="2024-02-09"/>
    <s v="Anjali"/>
    <x v="2"/>
    <x v="4"/>
    <x v="1"/>
    <n v="3"/>
    <n v="20000"/>
    <n v="60000"/>
    <s v="Cash"/>
    <x v="8"/>
  </r>
  <r>
    <n v="1427"/>
    <s v="2024-11-25"/>
    <s v="Pooja"/>
    <x v="1"/>
    <x v="3"/>
    <x v="1"/>
    <n v="3"/>
    <n v="55000"/>
    <n v="165000"/>
    <s v="Card"/>
    <x v="4"/>
  </r>
  <r>
    <n v="1428"/>
    <s v="2024-12-30"/>
    <s v="Neha"/>
    <x v="0"/>
    <x v="2"/>
    <x v="1"/>
    <n v="2"/>
    <n v="15000"/>
    <n v="30000"/>
    <s v="UPI"/>
    <x v="11"/>
  </r>
  <r>
    <n v="1429"/>
    <s v="2024-10-17"/>
    <s v="Neha"/>
    <x v="1"/>
    <x v="7"/>
    <x v="2"/>
    <n v="5"/>
    <n v="20"/>
    <n v="100"/>
    <s v="Card"/>
    <x v="9"/>
  </r>
  <r>
    <n v="1430"/>
    <s v="2024-10-21"/>
    <s v="Rahul"/>
    <x v="3"/>
    <x v="2"/>
    <x v="1"/>
    <n v="4"/>
    <n v="15000"/>
    <n v="60000"/>
    <s v="UPI"/>
    <x v="9"/>
  </r>
  <r>
    <n v="1431"/>
    <s v="2024-11-10"/>
    <s v="Ravi"/>
    <x v="3"/>
    <x v="7"/>
    <x v="2"/>
    <n v="1"/>
    <n v="20"/>
    <n v="20"/>
    <s v="UPI"/>
    <x v="4"/>
  </r>
  <r>
    <n v="1432"/>
    <s v="2024-08-25"/>
    <s v="Rahul"/>
    <x v="3"/>
    <x v="0"/>
    <x v="0"/>
    <n v="5"/>
    <n v="8000"/>
    <n v="40000"/>
    <s v="UPI"/>
    <x v="10"/>
  </r>
  <r>
    <n v="1433"/>
    <s v="2024-06-24"/>
    <s v="Rahul"/>
    <x v="2"/>
    <x v="5"/>
    <x v="2"/>
    <n v="3"/>
    <n v="150"/>
    <n v="450"/>
    <s v="Cash"/>
    <x v="6"/>
  </r>
  <r>
    <n v="1434"/>
    <s v="2024-04-14"/>
    <s v="Neha"/>
    <x v="2"/>
    <x v="7"/>
    <x v="2"/>
    <n v="5"/>
    <n v="20"/>
    <n v="100"/>
    <s v="UPI"/>
    <x v="2"/>
  </r>
  <r>
    <n v="1435"/>
    <s v="2024-12-16"/>
    <s v="Kiran"/>
    <x v="1"/>
    <x v="0"/>
    <x v="0"/>
    <n v="2"/>
    <n v="8000"/>
    <n v="16000"/>
    <s v="Cash"/>
    <x v="11"/>
  </r>
  <r>
    <n v="1436"/>
    <s v="2024-08-23"/>
    <s v="Priya"/>
    <x v="0"/>
    <x v="4"/>
    <x v="1"/>
    <n v="2"/>
    <n v="20000"/>
    <n v="40000"/>
    <s v="Card"/>
    <x v="10"/>
  </r>
  <r>
    <n v="1437"/>
    <s v="2024-02-14"/>
    <s v="Rahul"/>
    <x v="1"/>
    <x v="3"/>
    <x v="1"/>
    <n v="5"/>
    <n v="55000"/>
    <n v="275000"/>
    <s v="UPI"/>
    <x v="8"/>
  </r>
  <r>
    <n v="1438"/>
    <s v="2024-03-02"/>
    <s v="Pooja"/>
    <x v="2"/>
    <x v="7"/>
    <x v="2"/>
    <n v="4"/>
    <n v="20"/>
    <n v="80"/>
    <s v="Net Banking"/>
    <x v="3"/>
  </r>
  <r>
    <n v="1439"/>
    <s v="2024-12-28"/>
    <s v="Anjali"/>
    <x v="3"/>
    <x v="1"/>
    <x v="0"/>
    <n v="2"/>
    <n v="4500"/>
    <n v="9000"/>
    <s v="Card"/>
    <x v="11"/>
  </r>
  <r>
    <n v="1440"/>
    <s v="2024-12-22"/>
    <s v="Ravi"/>
    <x v="2"/>
    <x v="7"/>
    <x v="2"/>
    <n v="1"/>
    <n v="20"/>
    <n v="20"/>
    <s v="Net Banking"/>
    <x v="11"/>
  </r>
  <r>
    <n v="1441"/>
    <s v="2024-08-04"/>
    <s v="Vikas"/>
    <x v="3"/>
    <x v="7"/>
    <x v="2"/>
    <n v="3"/>
    <n v="20"/>
    <n v="60"/>
    <s v="Net Banking"/>
    <x v="10"/>
  </r>
  <r>
    <n v="1442"/>
    <s v="2024-05-13"/>
    <s v="Priya"/>
    <x v="3"/>
    <x v="4"/>
    <x v="1"/>
    <n v="3"/>
    <n v="20000"/>
    <n v="60000"/>
    <s v="Cash"/>
    <x v="7"/>
  </r>
  <r>
    <n v="1443"/>
    <s v="2024-04-24"/>
    <s v="Rahul"/>
    <x v="0"/>
    <x v="2"/>
    <x v="1"/>
    <n v="4"/>
    <n v="15000"/>
    <n v="60000"/>
    <s v="Cash"/>
    <x v="2"/>
  </r>
  <r>
    <n v="1444"/>
    <s v="2024-05-30"/>
    <s v="Amit"/>
    <x v="0"/>
    <x v="6"/>
    <x v="3"/>
    <n v="5"/>
    <n v="2000"/>
    <n v="10000"/>
    <s v="Net Banking"/>
    <x v="7"/>
  </r>
  <r>
    <n v="1445"/>
    <s v="2024-04-17"/>
    <s v="Anjali"/>
    <x v="2"/>
    <x v="6"/>
    <x v="3"/>
    <n v="5"/>
    <n v="2000"/>
    <n v="10000"/>
    <s v="Net Banking"/>
    <x v="2"/>
  </r>
  <r>
    <n v="1446"/>
    <s v="2024-07-01"/>
    <s v="Ravi"/>
    <x v="1"/>
    <x v="3"/>
    <x v="1"/>
    <n v="4"/>
    <n v="55000"/>
    <n v="220000"/>
    <s v="UPI"/>
    <x v="1"/>
  </r>
  <r>
    <n v="1447"/>
    <s v="2024-01-23"/>
    <s v="Amit"/>
    <x v="1"/>
    <x v="0"/>
    <x v="0"/>
    <n v="1"/>
    <n v="8000"/>
    <n v="8000"/>
    <s v="Net Banking"/>
    <x v="0"/>
  </r>
  <r>
    <n v="1448"/>
    <s v="2024-05-27"/>
    <s v="Rahul"/>
    <x v="1"/>
    <x v="7"/>
    <x v="2"/>
    <n v="2"/>
    <n v="20"/>
    <n v="40"/>
    <s v="Card"/>
    <x v="7"/>
  </r>
  <r>
    <n v="1449"/>
    <s v="2024-06-28"/>
    <s v="Pooja"/>
    <x v="0"/>
    <x v="0"/>
    <x v="0"/>
    <n v="5"/>
    <n v="8000"/>
    <n v="40000"/>
    <s v="UPI"/>
    <x v="6"/>
  </r>
  <r>
    <n v="1450"/>
    <s v="2024-08-25"/>
    <s v="Neha"/>
    <x v="2"/>
    <x v="6"/>
    <x v="3"/>
    <n v="3"/>
    <n v="2000"/>
    <n v="6000"/>
    <s v="UPI"/>
    <x v="10"/>
  </r>
  <r>
    <n v="1451"/>
    <s v="2024-04-03"/>
    <s v="Priya"/>
    <x v="3"/>
    <x v="1"/>
    <x v="0"/>
    <n v="4"/>
    <n v="4500"/>
    <n v="18000"/>
    <s v="Card"/>
    <x v="2"/>
  </r>
  <r>
    <n v="1452"/>
    <s v="2024-11-17"/>
    <s v="Amit"/>
    <x v="2"/>
    <x v="7"/>
    <x v="2"/>
    <n v="1"/>
    <n v="20"/>
    <n v="20"/>
    <s v="UPI"/>
    <x v="4"/>
  </r>
  <r>
    <n v="1453"/>
    <s v="2024-07-22"/>
    <s v="Ravi"/>
    <x v="3"/>
    <x v="0"/>
    <x v="0"/>
    <n v="4"/>
    <n v="8000"/>
    <n v="32000"/>
    <s v="Card"/>
    <x v="1"/>
  </r>
  <r>
    <n v="1454"/>
    <s v="2024-02-01"/>
    <s v="Anjali"/>
    <x v="1"/>
    <x v="3"/>
    <x v="1"/>
    <n v="3"/>
    <n v="55000"/>
    <n v="165000"/>
    <s v="Card"/>
    <x v="8"/>
  </r>
  <r>
    <n v="1455"/>
    <s v="2024-07-16"/>
    <s v="Kiran"/>
    <x v="2"/>
    <x v="0"/>
    <x v="0"/>
    <n v="3"/>
    <n v="8000"/>
    <n v="24000"/>
    <s v="UPI"/>
    <x v="1"/>
  </r>
  <r>
    <n v="1456"/>
    <s v="2024-01-11"/>
    <s v="Kiran"/>
    <x v="3"/>
    <x v="3"/>
    <x v="1"/>
    <n v="4"/>
    <n v="55000"/>
    <n v="220000"/>
    <s v="Card"/>
    <x v="0"/>
  </r>
  <r>
    <n v="1457"/>
    <s v="2024-10-09"/>
    <s v="Pooja"/>
    <x v="0"/>
    <x v="6"/>
    <x v="3"/>
    <n v="3"/>
    <n v="2000"/>
    <n v="6000"/>
    <s v="Cash"/>
    <x v="9"/>
  </r>
  <r>
    <n v="1458"/>
    <s v="2024-09-29"/>
    <s v="Priya"/>
    <x v="0"/>
    <x v="5"/>
    <x v="2"/>
    <n v="4"/>
    <n v="150"/>
    <n v="600"/>
    <s v="UPI"/>
    <x v="5"/>
  </r>
  <r>
    <n v="1459"/>
    <s v="2024-04-29"/>
    <s v="Amit"/>
    <x v="1"/>
    <x v="5"/>
    <x v="2"/>
    <n v="3"/>
    <n v="150"/>
    <n v="450"/>
    <s v="Cash"/>
    <x v="2"/>
  </r>
  <r>
    <n v="1460"/>
    <s v="2024-03-11"/>
    <s v="Suresh"/>
    <x v="0"/>
    <x v="7"/>
    <x v="2"/>
    <n v="2"/>
    <n v="20"/>
    <n v="40"/>
    <s v="Cash"/>
    <x v="3"/>
  </r>
  <r>
    <n v="1461"/>
    <s v="2024-10-26"/>
    <s v="Rahul"/>
    <x v="0"/>
    <x v="2"/>
    <x v="1"/>
    <n v="1"/>
    <n v="15000"/>
    <n v="15000"/>
    <s v="Cash"/>
    <x v="9"/>
  </r>
  <r>
    <n v="1462"/>
    <s v="2024-12-13"/>
    <s v="Pooja"/>
    <x v="2"/>
    <x v="4"/>
    <x v="1"/>
    <n v="5"/>
    <n v="20000"/>
    <n v="100000"/>
    <s v="Cash"/>
    <x v="11"/>
  </r>
  <r>
    <n v="1463"/>
    <s v="2024-10-24"/>
    <s v="Anjali"/>
    <x v="0"/>
    <x v="0"/>
    <x v="0"/>
    <n v="5"/>
    <n v="8000"/>
    <n v="40000"/>
    <s v="Card"/>
    <x v="9"/>
  </r>
  <r>
    <n v="1464"/>
    <s v="2024-03-05"/>
    <s v="Neha"/>
    <x v="3"/>
    <x v="2"/>
    <x v="1"/>
    <n v="2"/>
    <n v="15000"/>
    <n v="30000"/>
    <s v="Card"/>
    <x v="3"/>
  </r>
  <r>
    <n v="1465"/>
    <s v="2024-05-14"/>
    <s v="Vikas"/>
    <x v="0"/>
    <x v="5"/>
    <x v="2"/>
    <n v="3"/>
    <n v="150"/>
    <n v="450"/>
    <s v="Net Banking"/>
    <x v="7"/>
  </r>
  <r>
    <n v="1466"/>
    <s v="2024-02-02"/>
    <s v="Anjali"/>
    <x v="2"/>
    <x v="6"/>
    <x v="3"/>
    <n v="3"/>
    <n v="2000"/>
    <n v="6000"/>
    <s v="UPI"/>
    <x v="8"/>
  </r>
  <r>
    <n v="1467"/>
    <s v="2024-11-02"/>
    <s v="Amit"/>
    <x v="3"/>
    <x v="3"/>
    <x v="1"/>
    <n v="3"/>
    <n v="55000"/>
    <n v="165000"/>
    <s v="Net Banking"/>
    <x v="4"/>
  </r>
  <r>
    <n v="1468"/>
    <s v="2024-11-12"/>
    <s v="Amit"/>
    <x v="2"/>
    <x v="5"/>
    <x v="2"/>
    <n v="3"/>
    <n v="150"/>
    <n v="450"/>
    <s v="Card"/>
    <x v="4"/>
  </r>
  <r>
    <n v="1469"/>
    <s v="2024-01-24"/>
    <s v="Rahul"/>
    <x v="1"/>
    <x v="2"/>
    <x v="1"/>
    <n v="2"/>
    <n v="15000"/>
    <n v="30000"/>
    <s v="Net Banking"/>
    <x v="0"/>
  </r>
  <r>
    <n v="1470"/>
    <s v="2024-03-22"/>
    <s v="Amit"/>
    <x v="3"/>
    <x v="6"/>
    <x v="3"/>
    <n v="5"/>
    <n v="2000"/>
    <n v="10000"/>
    <s v="Card"/>
    <x v="3"/>
  </r>
  <r>
    <n v="1471"/>
    <s v="2024-05-06"/>
    <s v="Suresh"/>
    <x v="2"/>
    <x v="5"/>
    <x v="2"/>
    <n v="2"/>
    <n v="150"/>
    <n v="300"/>
    <s v="UPI"/>
    <x v="7"/>
  </r>
  <r>
    <n v="1472"/>
    <s v="2024-10-18"/>
    <s v="Priya"/>
    <x v="1"/>
    <x v="7"/>
    <x v="2"/>
    <n v="3"/>
    <n v="20"/>
    <n v="60"/>
    <s v="Card"/>
    <x v="9"/>
  </r>
  <r>
    <n v="1473"/>
    <s v="2024-04-19"/>
    <s v="Priya"/>
    <x v="1"/>
    <x v="1"/>
    <x v="0"/>
    <n v="5"/>
    <n v="4500"/>
    <n v="22500"/>
    <s v="UPI"/>
    <x v="2"/>
  </r>
  <r>
    <n v="1474"/>
    <s v="2024-09-14"/>
    <s v="Neha"/>
    <x v="1"/>
    <x v="5"/>
    <x v="2"/>
    <n v="1"/>
    <n v="150"/>
    <n v="150"/>
    <s v="Net Banking"/>
    <x v="5"/>
  </r>
  <r>
    <n v="1475"/>
    <s v="2024-01-30"/>
    <s v="Ravi"/>
    <x v="1"/>
    <x v="1"/>
    <x v="0"/>
    <n v="2"/>
    <n v="4500"/>
    <n v="9000"/>
    <s v="Card"/>
    <x v="0"/>
  </r>
  <r>
    <n v="1476"/>
    <s v="2024-05-02"/>
    <s v="Amit"/>
    <x v="1"/>
    <x v="0"/>
    <x v="0"/>
    <n v="3"/>
    <n v="8000"/>
    <n v="24000"/>
    <s v="Card"/>
    <x v="7"/>
  </r>
  <r>
    <n v="1477"/>
    <s v="2024-07-01"/>
    <s v="Pooja"/>
    <x v="1"/>
    <x v="3"/>
    <x v="1"/>
    <n v="1"/>
    <n v="55000"/>
    <n v="55000"/>
    <s v="UPI"/>
    <x v="1"/>
  </r>
  <r>
    <n v="1478"/>
    <s v="2024-03-15"/>
    <s v="Priya"/>
    <x v="3"/>
    <x v="1"/>
    <x v="0"/>
    <n v="5"/>
    <n v="4500"/>
    <n v="22500"/>
    <s v="Cash"/>
    <x v="3"/>
  </r>
  <r>
    <n v="1479"/>
    <s v="2024-10-23"/>
    <s v="Ravi"/>
    <x v="0"/>
    <x v="3"/>
    <x v="1"/>
    <n v="1"/>
    <n v="55000"/>
    <n v="55000"/>
    <s v="UPI"/>
    <x v="9"/>
  </r>
  <r>
    <n v="1480"/>
    <s v="2024-05-23"/>
    <s v="Kiran"/>
    <x v="2"/>
    <x v="3"/>
    <x v="1"/>
    <n v="4"/>
    <n v="55000"/>
    <n v="220000"/>
    <s v="Card"/>
    <x v="7"/>
  </r>
  <r>
    <n v="1481"/>
    <s v="2024-09-14"/>
    <s v="Kiran"/>
    <x v="0"/>
    <x v="5"/>
    <x v="2"/>
    <n v="4"/>
    <n v="150"/>
    <n v="600"/>
    <s v="UPI"/>
    <x v="5"/>
  </r>
  <r>
    <n v="1482"/>
    <s v="2024-07-13"/>
    <s v="Priya"/>
    <x v="2"/>
    <x v="3"/>
    <x v="1"/>
    <n v="1"/>
    <n v="55000"/>
    <n v="55000"/>
    <s v="Cash"/>
    <x v="1"/>
  </r>
  <r>
    <n v="1483"/>
    <s v="2024-06-04"/>
    <s v="Rahul"/>
    <x v="1"/>
    <x v="4"/>
    <x v="1"/>
    <n v="3"/>
    <n v="20000"/>
    <n v="60000"/>
    <s v="Card"/>
    <x v="6"/>
  </r>
  <r>
    <n v="1484"/>
    <s v="2024-10-11"/>
    <s v="Vikas"/>
    <x v="1"/>
    <x v="7"/>
    <x v="2"/>
    <n v="1"/>
    <n v="20"/>
    <n v="20"/>
    <s v="UPI"/>
    <x v="9"/>
  </r>
  <r>
    <n v="1485"/>
    <s v="2024-01-30"/>
    <s v="Pooja"/>
    <x v="0"/>
    <x v="1"/>
    <x v="0"/>
    <n v="3"/>
    <n v="4500"/>
    <n v="13500"/>
    <s v="Card"/>
    <x v="0"/>
  </r>
  <r>
    <n v="1486"/>
    <s v="2024-02-24"/>
    <s v="Amit"/>
    <x v="2"/>
    <x v="4"/>
    <x v="1"/>
    <n v="2"/>
    <n v="20000"/>
    <n v="40000"/>
    <s v="UPI"/>
    <x v="8"/>
  </r>
  <r>
    <n v="1487"/>
    <s v="2024-05-03"/>
    <s v="Kiran"/>
    <x v="2"/>
    <x v="7"/>
    <x v="2"/>
    <n v="5"/>
    <n v="20"/>
    <n v="100"/>
    <s v="Cash"/>
    <x v="7"/>
  </r>
  <r>
    <n v="1488"/>
    <s v="2024-09-15"/>
    <s v="Neha"/>
    <x v="2"/>
    <x v="6"/>
    <x v="3"/>
    <n v="3"/>
    <n v="2000"/>
    <n v="6000"/>
    <s v="Card"/>
    <x v="5"/>
  </r>
  <r>
    <n v="1489"/>
    <s v="2024-09-22"/>
    <s v="Vikas"/>
    <x v="0"/>
    <x v="0"/>
    <x v="0"/>
    <n v="5"/>
    <n v="8000"/>
    <n v="40000"/>
    <s v="Net Banking"/>
    <x v="5"/>
  </r>
  <r>
    <n v="1490"/>
    <s v="2024-11-16"/>
    <s v="Ravi"/>
    <x v="0"/>
    <x v="4"/>
    <x v="1"/>
    <n v="1"/>
    <n v="20000"/>
    <n v="20000"/>
    <s v="Cash"/>
    <x v="4"/>
  </r>
  <r>
    <n v="1491"/>
    <s v="2024-05-03"/>
    <s v="Pooja"/>
    <x v="0"/>
    <x v="4"/>
    <x v="1"/>
    <n v="4"/>
    <n v="20000"/>
    <n v="80000"/>
    <s v="Net Banking"/>
    <x v="7"/>
  </r>
  <r>
    <n v="1492"/>
    <s v="2024-04-29"/>
    <s v="Neha"/>
    <x v="0"/>
    <x v="5"/>
    <x v="2"/>
    <n v="1"/>
    <n v="150"/>
    <n v="150"/>
    <s v="Net Banking"/>
    <x v="2"/>
  </r>
  <r>
    <n v="1493"/>
    <s v="2024-09-21"/>
    <s v="Vikas"/>
    <x v="1"/>
    <x v="4"/>
    <x v="1"/>
    <n v="5"/>
    <n v="20000"/>
    <n v="100000"/>
    <s v="Card"/>
    <x v="5"/>
  </r>
  <r>
    <n v="1494"/>
    <s v="2024-07-18"/>
    <s v="Ravi"/>
    <x v="2"/>
    <x v="5"/>
    <x v="2"/>
    <n v="5"/>
    <n v="150"/>
    <n v="750"/>
    <s v="UPI"/>
    <x v="1"/>
  </r>
  <r>
    <n v="1495"/>
    <s v="2024-01-11"/>
    <s v="Suresh"/>
    <x v="1"/>
    <x v="1"/>
    <x v="0"/>
    <n v="3"/>
    <n v="4500"/>
    <n v="13500"/>
    <s v="Net Banking"/>
    <x v="0"/>
  </r>
  <r>
    <n v="1496"/>
    <s v="2024-02-08"/>
    <s v="Rahul"/>
    <x v="2"/>
    <x v="2"/>
    <x v="1"/>
    <n v="2"/>
    <n v="15000"/>
    <n v="30000"/>
    <s v="Net Banking"/>
    <x v="8"/>
  </r>
  <r>
    <n v="1497"/>
    <s v="2024-09-10"/>
    <s v="Rahul"/>
    <x v="3"/>
    <x v="4"/>
    <x v="1"/>
    <n v="3"/>
    <n v="20000"/>
    <n v="60000"/>
    <s v="Cash"/>
    <x v="5"/>
  </r>
  <r>
    <n v="1498"/>
    <s v="2024-08-15"/>
    <s v="Vikas"/>
    <x v="2"/>
    <x v="6"/>
    <x v="3"/>
    <n v="3"/>
    <n v="2000"/>
    <n v="6000"/>
    <s v="Card"/>
    <x v="10"/>
  </r>
  <r>
    <n v="1499"/>
    <s v="2024-02-25"/>
    <s v="Rahul"/>
    <x v="1"/>
    <x v="2"/>
    <x v="1"/>
    <n v="4"/>
    <n v="15000"/>
    <n v="60000"/>
    <s v="Cash"/>
    <x v="8"/>
  </r>
  <r>
    <n v="1500"/>
    <s v="2024-07-02"/>
    <s v="Pooja"/>
    <x v="0"/>
    <x v="5"/>
    <x v="2"/>
    <n v="5"/>
    <n v="150"/>
    <n v="750"/>
    <s v="Card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50"/>
    <s v="2024-09-05"/>
    <s v="Ravi"/>
    <x v="0"/>
    <x v="0"/>
    <x v="0"/>
    <n v="5"/>
    <n v="55000"/>
    <n v="275000"/>
    <s v="Cash"/>
  </r>
  <r>
    <n v="1054"/>
    <s v="2024-10-25"/>
    <s v="Neha"/>
    <x v="1"/>
    <x v="0"/>
    <x v="0"/>
    <n v="5"/>
    <n v="55000"/>
    <n v="275000"/>
    <s v="UPI"/>
  </r>
  <r>
    <n v="1056"/>
    <s v="2024-12-04"/>
    <s v="Amit"/>
    <x v="0"/>
    <x v="0"/>
    <x v="0"/>
    <n v="5"/>
    <n v="55000"/>
    <n v="275000"/>
    <s v="UPI"/>
  </r>
  <r>
    <n v="1152"/>
    <s v="2024-04-19"/>
    <s v="Anjali"/>
    <x v="2"/>
    <x v="0"/>
    <x v="0"/>
    <n v="5"/>
    <n v="55000"/>
    <n v="275000"/>
    <s v="UPI"/>
  </r>
  <r>
    <n v="1167"/>
    <s v="2024-09-28"/>
    <s v="Ravi"/>
    <x v="0"/>
    <x v="0"/>
    <x v="0"/>
    <n v="5"/>
    <n v="55000"/>
    <n v="275000"/>
    <s v="Cash"/>
  </r>
  <r>
    <n v="1234"/>
    <s v="2024-11-13"/>
    <s v="Vikas"/>
    <x v="3"/>
    <x v="0"/>
    <x v="0"/>
    <n v="5"/>
    <n v="55000"/>
    <n v="275000"/>
    <s v="UPI"/>
  </r>
  <r>
    <n v="1324"/>
    <s v="2024-01-05"/>
    <s v="Rahul"/>
    <x v="3"/>
    <x v="0"/>
    <x v="0"/>
    <n v="5"/>
    <n v="55000"/>
    <n v="275000"/>
    <s v="UPI"/>
  </r>
  <r>
    <n v="1354"/>
    <s v="2024-09-05"/>
    <s v="Vikas"/>
    <x v="1"/>
    <x v="0"/>
    <x v="0"/>
    <n v="5"/>
    <n v="55000"/>
    <n v="275000"/>
    <s v="Net Banking"/>
  </r>
  <r>
    <n v="1359"/>
    <s v="2024-08-17"/>
    <s v="Priya"/>
    <x v="1"/>
    <x v="0"/>
    <x v="0"/>
    <n v="5"/>
    <n v="55000"/>
    <n v="275000"/>
    <s v="Card"/>
  </r>
  <r>
    <n v="1381"/>
    <s v="2024-02-08"/>
    <s v="Vikas"/>
    <x v="1"/>
    <x v="0"/>
    <x v="0"/>
    <n v="5"/>
    <n v="55000"/>
    <n v="275000"/>
    <s v="Net Banking"/>
  </r>
  <r>
    <n v="1394"/>
    <s v="2024-01-17"/>
    <s v="Ravi"/>
    <x v="1"/>
    <x v="0"/>
    <x v="0"/>
    <n v="5"/>
    <n v="55000"/>
    <n v="275000"/>
    <s v="Card"/>
  </r>
  <r>
    <n v="1437"/>
    <s v="2024-02-14"/>
    <s v="Rahul"/>
    <x v="1"/>
    <x v="0"/>
    <x v="0"/>
    <n v="5"/>
    <n v="55000"/>
    <n v="275000"/>
    <s v="UPI"/>
  </r>
  <r>
    <n v="1006"/>
    <s v="2024-11-24"/>
    <s v="Priya"/>
    <x v="1"/>
    <x v="0"/>
    <x v="0"/>
    <n v="4"/>
    <n v="55000"/>
    <n v="220000"/>
    <s v="UPI"/>
  </r>
  <r>
    <n v="1116"/>
    <s v="2024-07-27"/>
    <s v="Anjali"/>
    <x v="3"/>
    <x v="0"/>
    <x v="0"/>
    <n v="4"/>
    <n v="55000"/>
    <n v="220000"/>
    <s v="Card"/>
  </r>
  <r>
    <n v="1154"/>
    <s v="2024-08-11"/>
    <s v="Rahul"/>
    <x v="2"/>
    <x v="0"/>
    <x v="0"/>
    <n v="4"/>
    <n v="55000"/>
    <n v="220000"/>
    <s v="Net Banking"/>
  </r>
  <r>
    <n v="1270"/>
    <s v="2024-10-24"/>
    <s v="Ravi"/>
    <x v="3"/>
    <x v="0"/>
    <x v="0"/>
    <n v="4"/>
    <n v="55000"/>
    <n v="220000"/>
    <s v="Net Banking"/>
  </r>
  <r>
    <n v="1314"/>
    <s v="2024-02-10"/>
    <s v="Kiran"/>
    <x v="1"/>
    <x v="0"/>
    <x v="0"/>
    <n v="4"/>
    <n v="55000"/>
    <n v="220000"/>
    <s v="Card"/>
  </r>
  <r>
    <n v="1340"/>
    <s v="2024-06-16"/>
    <s v="Amit"/>
    <x v="2"/>
    <x v="0"/>
    <x v="0"/>
    <n v="4"/>
    <n v="55000"/>
    <n v="220000"/>
    <s v="UPI"/>
  </r>
  <r>
    <n v="1365"/>
    <s v="2024-11-23"/>
    <s v="Ravi"/>
    <x v="1"/>
    <x v="0"/>
    <x v="0"/>
    <n v="4"/>
    <n v="55000"/>
    <n v="220000"/>
    <s v="Net Banking"/>
  </r>
  <r>
    <n v="1377"/>
    <s v="2024-12-24"/>
    <s v="Amit"/>
    <x v="1"/>
    <x v="0"/>
    <x v="0"/>
    <n v="4"/>
    <n v="55000"/>
    <n v="220000"/>
    <s v="Net Banking"/>
  </r>
  <r>
    <n v="1446"/>
    <s v="2024-07-01"/>
    <s v="Ravi"/>
    <x v="1"/>
    <x v="0"/>
    <x v="0"/>
    <n v="4"/>
    <n v="55000"/>
    <n v="220000"/>
    <s v="UPI"/>
  </r>
  <r>
    <n v="1456"/>
    <s v="2024-01-11"/>
    <s v="Kiran"/>
    <x v="2"/>
    <x v="0"/>
    <x v="0"/>
    <n v="4"/>
    <n v="55000"/>
    <n v="220000"/>
    <s v="Card"/>
  </r>
  <r>
    <n v="1480"/>
    <s v="2024-05-23"/>
    <s v="Kiran"/>
    <x v="3"/>
    <x v="0"/>
    <x v="0"/>
    <n v="4"/>
    <n v="55000"/>
    <n v="220000"/>
    <s v="Card"/>
  </r>
  <r>
    <n v="1021"/>
    <s v="2024-01-19"/>
    <s v="Neha"/>
    <x v="2"/>
    <x v="0"/>
    <x v="0"/>
    <n v="3"/>
    <n v="55000"/>
    <n v="165000"/>
    <s v="UPI"/>
  </r>
  <r>
    <n v="1096"/>
    <s v="2024-07-22"/>
    <s v="Neha"/>
    <x v="0"/>
    <x v="0"/>
    <x v="0"/>
    <n v="3"/>
    <n v="55000"/>
    <n v="165000"/>
    <s v="Net Banking"/>
  </r>
  <r>
    <n v="1119"/>
    <s v="2024-01-15"/>
    <s v="Suresh"/>
    <x v="1"/>
    <x v="0"/>
    <x v="0"/>
    <n v="3"/>
    <n v="55000"/>
    <n v="165000"/>
    <s v="Cash"/>
  </r>
  <r>
    <n v="1136"/>
    <s v="2024-06-10"/>
    <s v="Anjali"/>
    <x v="3"/>
    <x v="0"/>
    <x v="0"/>
    <n v="3"/>
    <n v="55000"/>
    <n v="165000"/>
    <s v="Net Banking"/>
  </r>
  <r>
    <n v="1146"/>
    <s v="2024-05-06"/>
    <s v="Vikas"/>
    <x v="2"/>
    <x v="0"/>
    <x v="0"/>
    <n v="3"/>
    <n v="55000"/>
    <n v="165000"/>
    <s v="Card"/>
  </r>
  <r>
    <n v="1177"/>
    <s v="2024-05-09"/>
    <s v="Suresh"/>
    <x v="2"/>
    <x v="0"/>
    <x v="0"/>
    <n v="3"/>
    <n v="55000"/>
    <n v="165000"/>
    <s v="Card"/>
  </r>
  <r>
    <n v="1201"/>
    <s v="2024-06-02"/>
    <s v="Neha"/>
    <x v="2"/>
    <x v="0"/>
    <x v="0"/>
    <n v="3"/>
    <n v="55000"/>
    <n v="165000"/>
    <s v="Card"/>
  </r>
  <r>
    <n v="1272"/>
    <s v="2024-05-31"/>
    <s v="Neha"/>
    <x v="3"/>
    <x v="0"/>
    <x v="0"/>
    <n v="3"/>
    <n v="55000"/>
    <n v="165000"/>
    <s v="UPI"/>
  </r>
  <r>
    <n v="1275"/>
    <s v="2024-09-03"/>
    <s v="Neha"/>
    <x v="2"/>
    <x v="0"/>
    <x v="0"/>
    <n v="3"/>
    <n v="55000"/>
    <n v="165000"/>
    <s v="Net Banking"/>
  </r>
  <r>
    <n v="1284"/>
    <s v="2024-12-06"/>
    <s v="Pooja"/>
    <x v="0"/>
    <x v="0"/>
    <x v="0"/>
    <n v="3"/>
    <n v="55000"/>
    <n v="165000"/>
    <s v="Net Banking"/>
  </r>
  <r>
    <n v="1305"/>
    <s v="2024-08-12"/>
    <s v="Pooja"/>
    <x v="3"/>
    <x v="0"/>
    <x v="0"/>
    <n v="3"/>
    <n v="55000"/>
    <n v="165000"/>
    <s v="Card"/>
  </r>
  <r>
    <n v="1307"/>
    <s v="2024-06-18"/>
    <s v="Amit"/>
    <x v="2"/>
    <x v="0"/>
    <x v="0"/>
    <n v="3"/>
    <n v="55000"/>
    <n v="165000"/>
    <s v="Card"/>
  </r>
  <r>
    <n v="1352"/>
    <s v="2024-08-13"/>
    <s v="Ravi"/>
    <x v="3"/>
    <x v="0"/>
    <x v="0"/>
    <n v="3"/>
    <n v="55000"/>
    <n v="165000"/>
    <s v="Cash"/>
  </r>
  <r>
    <n v="1408"/>
    <s v="2024-02-12"/>
    <s v="Pooja"/>
    <x v="2"/>
    <x v="0"/>
    <x v="0"/>
    <n v="3"/>
    <n v="55000"/>
    <n v="165000"/>
    <s v="Card"/>
  </r>
  <r>
    <n v="1414"/>
    <s v="2024-01-12"/>
    <s v="Ravi"/>
    <x v="3"/>
    <x v="0"/>
    <x v="0"/>
    <n v="3"/>
    <n v="55000"/>
    <n v="165000"/>
    <s v="Card"/>
  </r>
  <r>
    <n v="1421"/>
    <s v="2024-11-13"/>
    <s v="Ravi"/>
    <x v="3"/>
    <x v="0"/>
    <x v="0"/>
    <n v="3"/>
    <n v="55000"/>
    <n v="165000"/>
    <s v="Net Banking"/>
  </r>
  <r>
    <n v="1427"/>
    <s v="2024-11-25"/>
    <s v="Pooja"/>
    <x v="1"/>
    <x v="0"/>
    <x v="0"/>
    <n v="3"/>
    <n v="55000"/>
    <n v="165000"/>
    <s v="Card"/>
  </r>
  <r>
    <n v="1454"/>
    <s v="2024-02-01"/>
    <s v="Anjali"/>
    <x v="1"/>
    <x v="0"/>
    <x v="0"/>
    <n v="3"/>
    <n v="55000"/>
    <n v="165000"/>
    <s v="Card"/>
  </r>
  <r>
    <n v="1467"/>
    <s v="2024-11-02"/>
    <s v="Amit"/>
    <x v="2"/>
    <x v="0"/>
    <x v="0"/>
    <n v="3"/>
    <n v="55000"/>
    <n v="165000"/>
    <s v="Net Banking"/>
  </r>
  <r>
    <n v="1027"/>
    <s v="2024-07-05"/>
    <s v="Rahul"/>
    <x v="0"/>
    <x v="0"/>
    <x v="0"/>
    <n v="2"/>
    <n v="55000"/>
    <n v="110000"/>
    <s v="Net Banking"/>
  </r>
  <r>
    <n v="1052"/>
    <s v="2024-09-01"/>
    <s v="Anjali"/>
    <x v="1"/>
    <x v="0"/>
    <x v="0"/>
    <n v="2"/>
    <n v="55000"/>
    <n v="110000"/>
    <s v="Card"/>
  </r>
  <r>
    <n v="1066"/>
    <s v="2024-03-28"/>
    <s v="Ravi"/>
    <x v="0"/>
    <x v="0"/>
    <x v="0"/>
    <n v="2"/>
    <n v="55000"/>
    <n v="110000"/>
    <s v="Card"/>
  </r>
  <r>
    <n v="1069"/>
    <s v="2024-10-19"/>
    <s v="Priya"/>
    <x v="0"/>
    <x v="0"/>
    <x v="0"/>
    <n v="2"/>
    <n v="55000"/>
    <n v="110000"/>
    <s v="Card"/>
  </r>
  <r>
    <n v="1089"/>
    <s v="2024-12-29"/>
    <s v="Ravi"/>
    <x v="0"/>
    <x v="0"/>
    <x v="0"/>
    <n v="2"/>
    <n v="55000"/>
    <n v="110000"/>
    <s v="UPI"/>
  </r>
  <r>
    <n v="1168"/>
    <s v="2024-12-22"/>
    <s v="Amit"/>
    <x v="1"/>
    <x v="0"/>
    <x v="0"/>
    <n v="2"/>
    <n v="55000"/>
    <n v="110000"/>
    <s v="Card"/>
  </r>
  <r>
    <n v="1204"/>
    <s v="2024-12-23"/>
    <s v="Rahul"/>
    <x v="2"/>
    <x v="0"/>
    <x v="0"/>
    <n v="2"/>
    <n v="55000"/>
    <n v="110000"/>
    <s v="Card"/>
  </r>
  <r>
    <n v="1206"/>
    <s v="2024-08-10"/>
    <s v="Pooja"/>
    <x v="3"/>
    <x v="0"/>
    <x v="0"/>
    <n v="2"/>
    <n v="55000"/>
    <n v="110000"/>
    <s v="Cash"/>
  </r>
  <r>
    <n v="1237"/>
    <s v="2024-06-17"/>
    <s v="Vikas"/>
    <x v="2"/>
    <x v="0"/>
    <x v="0"/>
    <n v="2"/>
    <n v="55000"/>
    <n v="110000"/>
    <s v="Cash"/>
  </r>
  <r>
    <n v="1243"/>
    <s v="2024-09-24"/>
    <s v="Suresh"/>
    <x v="3"/>
    <x v="0"/>
    <x v="0"/>
    <n v="2"/>
    <n v="55000"/>
    <n v="110000"/>
    <s v="Card"/>
  </r>
  <r>
    <n v="1279"/>
    <s v="2024-01-11"/>
    <s v="Amit"/>
    <x v="2"/>
    <x v="0"/>
    <x v="0"/>
    <n v="2"/>
    <n v="55000"/>
    <n v="110000"/>
    <s v="Net Banking"/>
  </r>
  <r>
    <n v="1397"/>
    <s v="2024-08-10"/>
    <s v="Neha"/>
    <x v="3"/>
    <x v="0"/>
    <x v="0"/>
    <n v="2"/>
    <n v="55000"/>
    <n v="110000"/>
    <s v="Cash"/>
  </r>
  <r>
    <n v="1403"/>
    <s v="2024-12-10"/>
    <s v="Priya"/>
    <x v="3"/>
    <x v="0"/>
    <x v="0"/>
    <n v="2"/>
    <n v="55000"/>
    <n v="110000"/>
    <s v="Card"/>
  </r>
  <r>
    <n v="1060"/>
    <s v="2024-05-19"/>
    <s v="Amit"/>
    <x v="3"/>
    <x v="1"/>
    <x v="0"/>
    <n v="5"/>
    <n v="20000"/>
    <n v="100000"/>
    <s v="Net Banking"/>
  </r>
  <r>
    <n v="1079"/>
    <s v="2024-02-10"/>
    <s v="Neha"/>
    <x v="3"/>
    <x v="1"/>
    <x v="0"/>
    <n v="5"/>
    <n v="20000"/>
    <n v="100000"/>
    <s v="Net Banking"/>
  </r>
  <r>
    <n v="1108"/>
    <s v="2024-05-06"/>
    <s v="Neha"/>
    <x v="2"/>
    <x v="1"/>
    <x v="0"/>
    <n v="5"/>
    <n v="20000"/>
    <n v="100000"/>
    <s v="Card"/>
  </r>
  <r>
    <n v="1241"/>
    <s v="2024-04-26"/>
    <s v="Amit"/>
    <x v="1"/>
    <x v="1"/>
    <x v="0"/>
    <n v="5"/>
    <n v="20000"/>
    <n v="100000"/>
    <s v="UPI"/>
  </r>
  <r>
    <n v="1264"/>
    <s v="2024-03-22"/>
    <s v="Priya"/>
    <x v="1"/>
    <x v="1"/>
    <x v="0"/>
    <n v="5"/>
    <n v="20000"/>
    <n v="100000"/>
    <s v="Cash"/>
  </r>
  <r>
    <n v="1271"/>
    <s v="2024-07-31"/>
    <s v="Suresh"/>
    <x v="2"/>
    <x v="1"/>
    <x v="0"/>
    <n v="5"/>
    <n v="20000"/>
    <n v="100000"/>
    <s v="Card"/>
  </r>
  <r>
    <n v="1283"/>
    <s v="2024-04-07"/>
    <s v="Ravi"/>
    <x v="1"/>
    <x v="1"/>
    <x v="0"/>
    <n v="5"/>
    <n v="20000"/>
    <n v="100000"/>
    <s v="Net Banking"/>
  </r>
  <r>
    <n v="1289"/>
    <s v="2024-01-12"/>
    <s v="Amit"/>
    <x v="1"/>
    <x v="1"/>
    <x v="0"/>
    <n v="5"/>
    <n v="20000"/>
    <n v="100000"/>
    <s v="Card"/>
  </r>
  <r>
    <n v="1290"/>
    <s v="2024-11-05"/>
    <s v="Kiran"/>
    <x v="3"/>
    <x v="1"/>
    <x v="0"/>
    <n v="5"/>
    <n v="20000"/>
    <n v="100000"/>
    <s v="Card"/>
  </r>
  <r>
    <n v="1300"/>
    <s v="2024-06-16"/>
    <s v="Priya"/>
    <x v="3"/>
    <x v="1"/>
    <x v="0"/>
    <n v="5"/>
    <n v="20000"/>
    <n v="100000"/>
    <s v="UPI"/>
  </r>
  <r>
    <n v="1372"/>
    <s v="2024-12-20"/>
    <s v="Amit"/>
    <x v="3"/>
    <x v="1"/>
    <x v="0"/>
    <n v="5"/>
    <n v="20000"/>
    <n v="100000"/>
    <s v="UPI"/>
  </r>
  <r>
    <n v="1382"/>
    <s v="2024-10-26"/>
    <s v="Neha"/>
    <x v="1"/>
    <x v="1"/>
    <x v="0"/>
    <n v="5"/>
    <n v="20000"/>
    <n v="100000"/>
    <s v="UPI"/>
  </r>
  <r>
    <n v="1462"/>
    <s v="2024-12-13"/>
    <s v="Pooja"/>
    <x v="3"/>
    <x v="1"/>
    <x v="0"/>
    <n v="5"/>
    <n v="20000"/>
    <n v="100000"/>
    <s v="Cash"/>
  </r>
  <r>
    <n v="1493"/>
    <s v="2024-09-21"/>
    <s v="Vikas"/>
    <x v="1"/>
    <x v="1"/>
    <x v="0"/>
    <n v="5"/>
    <n v="20000"/>
    <n v="100000"/>
    <s v="Card"/>
  </r>
  <r>
    <n v="1049"/>
    <s v="2024-07-15"/>
    <s v="Vikas"/>
    <x v="2"/>
    <x v="1"/>
    <x v="0"/>
    <n v="4"/>
    <n v="20000"/>
    <n v="80000"/>
    <s v="Net Banking"/>
  </r>
  <r>
    <n v="1084"/>
    <s v="2024-03-21"/>
    <s v="Vikas"/>
    <x v="1"/>
    <x v="1"/>
    <x v="0"/>
    <n v="4"/>
    <n v="20000"/>
    <n v="80000"/>
    <s v="Card"/>
  </r>
  <r>
    <n v="1106"/>
    <s v="2024-10-20"/>
    <s v="Amit"/>
    <x v="1"/>
    <x v="1"/>
    <x v="0"/>
    <n v="4"/>
    <n v="20000"/>
    <n v="80000"/>
    <s v="Cash"/>
  </r>
  <r>
    <n v="1111"/>
    <s v="2024-10-08"/>
    <s v="Neha"/>
    <x v="2"/>
    <x v="1"/>
    <x v="0"/>
    <n v="4"/>
    <n v="20000"/>
    <n v="80000"/>
    <s v="Cash"/>
  </r>
  <r>
    <n v="1142"/>
    <s v="2024-03-18"/>
    <s v="Suresh"/>
    <x v="3"/>
    <x v="1"/>
    <x v="0"/>
    <n v="4"/>
    <n v="20000"/>
    <n v="80000"/>
    <s v="Card"/>
  </r>
  <r>
    <n v="1153"/>
    <s v="2024-05-14"/>
    <s v="Priya"/>
    <x v="1"/>
    <x v="1"/>
    <x v="0"/>
    <n v="4"/>
    <n v="20000"/>
    <n v="80000"/>
    <s v="UPI"/>
  </r>
  <r>
    <n v="1159"/>
    <s v="2024-09-03"/>
    <s v="Amit"/>
    <x v="3"/>
    <x v="1"/>
    <x v="0"/>
    <n v="4"/>
    <n v="20000"/>
    <n v="80000"/>
    <s v="Cash"/>
  </r>
  <r>
    <n v="1256"/>
    <s v="2024-11-23"/>
    <s v="Amit"/>
    <x v="1"/>
    <x v="1"/>
    <x v="0"/>
    <n v="4"/>
    <n v="20000"/>
    <n v="80000"/>
    <s v="UPI"/>
  </r>
  <r>
    <n v="1265"/>
    <s v="2024-12-10"/>
    <s v="Rahul"/>
    <x v="0"/>
    <x v="1"/>
    <x v="0"/>
    <n v="4"/>
    <n v="20000"/>
    <n v="80000"/>
    <s v="Cash"/>
  </r>
  <r>
    <n v="1276"/>
    <s v="2024-10-08"/>
    <s v="Pooja"/>
    <x v="0"/>
    <x v="1"/>
    <x v="0"/>
    <n v="4"/>
    <n v="20000"/>
    <n v="80000"/>
    <s v="Cash"/>
  </r>
  <r>
    <n v="1309"/>
    <s v="2024-09-19"/>
    <s v="Anjali"/>
    <x v="2"/>
    <x v="1"/>
    <x v="0"/>
    <n v="4"/>
    <n v="20000"/>
    <n v="80000"/>
    <s v="Cash"/>
  </r>
  <r>
    <n v="1317"/>
    <s v="2024-06-27"/>
    <s v="Amit"/>
    <x v="1"/>
    <x v="1"/>
    <x v="0"/>
    <n v="4"/>
    <n v="20000"/>
    <n v="80000"/>
    <s v="Net Banking"/>
  </r>
  <r>
    <n v="1347"/>
    <s v="2024-07-30"/>
    <s v="Suresh"/>
    <x v="0"/>
    <x v="1"/>
    <x v="0"/>
    <n v="4"/>
    <n v="20000"/>
    <n v="80000"/>
    <s v="Net Banking"/>
  </r>
  <r>
    <n v="1383"/>
    <s v="2024-12-01"/>
    <s v="Priya"/>
    <x v="0"/>
    <x v="1"/>
    <x v="0"/>
    <n v="4"/>
    <n v="20000"/>
    <n v="80000"/>
    <s v="Card"/>
  </r>
  <r>
    <n v="1491"/>
    <s v="2024-05-03"/>
    <s v="Pooja"/>
    <x v="0"/>
    <x v="1"/>
    <x v="0"/>
    <n v="4"/>
    <n v="20000"/>
    <n v="80000"/>
    <s v="Net Banking"/>
  </r>
  <r>
    <n v="1005"/>
    <s v="2024-03-20"/>
    <s v="Rahul"/>
    <x v="2"/>
    <x v="2"/>
    <x v="0"/>
    <n v="5"/>
    <n v="15000"/>
    <n v="75000"/>
    <s v="Cash"/>
  </r>
  <r>
    <n v="1012"/>
    <s v="2024-01-30"/>
    <s v="Vikas"/>
    <x v="1"/>
    <x v="2"/>
    <x v="0"/>
    <n v="5"/>
    <n v="15000"/>
    <n v="75000"/>
    <s v="Cash"/>
  </r>
  <r>
    <n v="1013"/>
    <s v="2024-06-17"/>
    <s v="Anjali"/>
    <x v="2"/>
    <x v="2"/>
    <x v="0"/>
    <n v="5"/>
    <n v="15000"/>
    <n v="75000"/>
    <s v="Card"/>
  </r>
  <r>
    <n v="1046"/>
    <s v="2024-11-07"/>
    <s v="Rahul"/>
    <x v="3"/>
    <x v="2"/>
    <x v="0"/>
    <n v="5"/>
    <n v="15000"/>
    <n v="75000"/>
    <s v="Cash"/>
  </r>
  <r>
    <n v="1077"/>
    <s v="2024-09-20"/>
    <s v="Pooja"/>
    <x v="0"/>
    <x v="2"/>
    <x v="0"/>
    <n v="5"/>
    <n v="15000"/>
    <n v="75000"/>
    <s v="Card"/>
  </r>
  <r>
    <n v="1099"/>
    <s v="2024-11-23"/>
    <s v="Rahul"/>
    <x v="0"/>
    <x v="2"/>
    <x v="0"/>
    <n v="5"/>
    <n v="15000"/>
    <n v="75000"/>
    <s v="Net Banking"/>
  </r>
  <r>
    <n v="1104"/>
    <s v="2024-12-26"/>
    <s v="Ravi"/>
    <x v="1"/>
    <x v="2"/>
    <x v="0"/>
    <n v="5"/>
    <n v="15000"/>
    <n v="75000"/>
    <s v="Net Banking"/>
  </r>
  <r>
    <n v="1123"/>
    <s v="2024-07-31"/>
    <s v="Ravi"/>
    <x v="3"/>
    <x v="2"/>
    <x v="0"/>
    <n v="5"/>
    <n v="15000"/>
    <n v="75000"/>
    <s v="Card"/>
  </r>
  <r>
    <n v="1126"/>
    <s v="2024-03-30"/>
    <s v="Priya"/>
    <x v="1"/>
    <x v="2"/>
    <x v="0"/>
    <n v="5"/>
    <n v="15000"/>
    <n v="75000"/>
    <s v="Card"/>
  </r>
  <r>
    <n v="1144"/>
    <s v="2024-10-05"/>
    <s v="Pooja"/>
    <x v="3"/>
    <x v="2"/>
    <x v="0"/>
    <n v="5"/>
    <n v="15000"/>
    <n v="75000"/>
    <s v="Cash"/>
  </r>
  <r>
    <n v="1173"/>
    <s v="2024-04-24"/>
    <s v="Pooja"/>
    <x v="3"/>
    <x v="2"/>
    <x v="0"/>
    <n v="5"/>
    <n v="15000"/>
    <n v="75000"/>
    <s v="UPI"/>
  </r>
  <r>
    <n v="1257"/>
    <s v="2024-11-20"/>
    <s v="Neha"/>
    <x v="2"/>
    <x v="2"/>
    <x v="0"/>
    <n v="5"/>
    <n v="15000"/>
    <n v="75000"/>
    <s v="Net Banking"/>
  </r>
  <r>
    <n v="1287"/>
    <s v="2024-01-09"/>
    <s v="Priya"/>
    <x v="3"/>
    <x v="2"/>
    <x v="0"/>
    <n v="5"/>
    <n v="15000"/>
    <n v="75000"/>
    <s v="Net Banking"/>
  </r>
  <r>
    <n v="1298"/>
    <s v="2024-12-03"/>
    <s v="Neha"/>
    <x v="0"/>
    <x v="2"/>
    <x v="0"/>
    <n v="5"/>
    <n v="15000"/>
    <n v="75000"/>
    <s v="Net Banking"/>
  </r>
  <r>
    <n v="1353"/>
    <s v="2024-03-10"/>
    <s v="Suresh"/>
    <x v="1"/>
    <x v="2"/>
    <x v="0"/>
    <n v="5"/>
    <n v="15000"/>
    <n v="75000"/>
    <s v="Net Banking"/>
  </r>
  <r>
    <n v="1356"/>
    <s v="2024-10-08"/>
    <s v="Kiran"/>
    <x v="2"/>
    <x v="2"/>
    <x v="0"/>
    <n v="5"/>
    <n v="15000"/>
    <n v="75000"/>
    <s v="Net Banking"/>
  </r>
  <r>
    <n v="1387"/>
    <s v="2024-05-11"/>
    <s v="Ravi"/>
    <x v="2"/>
    <x v="2"/>
    <x v="0"/>
    <n v="5"/>
    <n v="15000"/>
    <n v="75000"/>
    <s v="UPI"/>
  </r>
  <r>
    <n v="1010"/>
    <s v="2024-06-07"/>
    <s v="Pooja"/>
    <x v="3"/>
    <x v="1"/>
    <x v="0"/>
    <n v="3"/>
    <n v="20000"/>
    <n v="60000"/>
    <s v="Net Banking"/>
  </r>
  <r>
    <n v="1018"/>
    <s v="2024-11-28"/>
    <s v="Ravi"/>
    <x v="1"/>
    <x v="2"/>
    <x v="0"/>
    <n v="4"/>
    <n v="15000"/>
    <n v="60000"/>
    <s v="Card"/>
  </r>
  <r>
    <n v="1032"/>
    <s v="2024-03-22"/>
    <s v="Kiran"/>
    <x v="2"/>
    <x v="2"/>
    <x v="0"/>
    <n v="4"/>
    <n v="15000"/>
    <n v="60000"/>
    <s v="UPI"/>
  </r>
  <r>
    <n v="1130"/>
    <s v="2024-05-31"/>
    <s v="Pooja"/>
    <x v="3"/>
    <x v="1"/>
    <x v="0"/>
    <n v="3"/>
    <n v="20000"/>
    <n v="60000"/>
    <s v="Net Banking"/>
  </r>
  <r>
    <n v="1184"/>
    <s v="2024-02-18"/>
    <s v="Kiran"/>
    <x v="2"/>
    <x v="1"/>
    <x v="0"/>
    <n v="3"/>
    <n v="20000"/>
    <n v="60000"/>
    <s v="Net Banking"/>
  </r>
  <r>
    <n v="1187"/>
    <s v="2024-06-25"/>
    <s v="Rahul"/>
    <x v="3"/>
    <x v="1"/>
    <x v="0"/>
    <n v="3"/>
    <n v="20000"/>
    <n v="60000"/>
    <s v="Cash"/>
  </r>
  <r>
    <n v="1192"/>
    <s v="2024-02-23"/>
    <s v="Amit"/>
    <x v="3"/>
    <x v="2"/>
    <x v="0"/>
    <n v="4"/>
    <n v="15000"/>
    <n v="60000"/>
    <s v="Net Banking"/>
  </r>
  <r>
    <n v="1197"/>
    <s v="2024-01-22"/>
    <s v="Suresh"/>
    <x v="3"/>
    <x v="2"/>
    <x v="0"/>
    <n v="4"/>
    <n v="15000"/>
    <n v="60000"/>
    <s v="Cash"/>
  </r>
  <r>
    <n v="1207"/>
    <s v="2024-11-22"/>
    <s v="Pooja"/>
    <x v="2"/>
    <x v="1"/>
    <x v="0"/>
    <n v="3"/>
    <n v="20000"/>
    <n v="60000"/>
    <s v="UPI"/>
  </r>
  <r>
    <n v="1217"/>
    <s v="2024-05-15"/>
    <s v="Pooja"/>
    <x v="3"/>
    <x v="1"/>
    <x v="0"/>
    <n v="3"/>
    <n v="20000"/>
    <n v="60000"/>
    <s v="Card"/>
  </r>
  <r>
    <n v="1251"/>
    <s v="2024-05-09"/>
    <s v="Pooja"/>
    <x v="1"/>
    <x v="2"/>
    <x v="0"/>
    <n v="4"/>
    <n v="15000"/>
    <n v="60000"/>
    <s v="Card"/>
  </r>
  <r>
    <n v="1268"/>
    <s v="2024-06-18"/>
    <s v="Anjali"/>
    <x v="3"/>
    <x v="2"/>
    <x v="0"/>
    <n v="4"/>
    <n v="15000"/>
    <n v="60000"/>
    <s v="UPI"/>
  </r>
  <r>
    <n v="1335"/>
    <s v="2024-03-03"/>
    <s v="Pooja"/>
    <x v="2"/>
    <x v="2"/>
    <x v="0"/>
    <n v="4"/>
    <n v="15000"/>
    <n v="60000"/>
    <s v="UPI"/>
  </r>
  <r>
    <n v="1337"/>
    <s v="2024-07-07"/>
    <s v="Pooja"/>
    <x v="2"/>
    <x v="2"/>
    <x v="0"/>
    <n v="4"/>
    <n v="15000"/>
    <n v="60000"/>
    <s v="Cash"/>
  </r>
  <r>
    <n v="1345"/>
    <s v="2024-09-18"/>
    <s v="Ravi"/>
    <x v="2"/>
    <x v="2"/>
    <x v="0"/>
    <n v="4"/>
    <n v="15000"/>
    <n v="60000"/>
    <s v="Card"/>
  </r>
  <r>
    <n v="1355"/>
    <s v="2024-02-12"/>
    <s v="Vikas"/>
    <x v="2"/>
    <x v="2"/>
    <x v="0"/>
    <n v="4"/>
    <n v="15000"/>
    <n v="60000"/>
    <s v="Card"/>
  </r>
  <r>
    <n v="1370"/>
    <s v="2024-01-06"/>
    <s v="Amit"/>
    <x v="2"/>
    <x v="2"/>
    <x v="0"/>
    <n v="4"/>
    <n v="15000"/>
    <n v="60000"/>
    <s v="Net Banking"/>
  </r>
  <r>
    <n v="1401"/>
    <s v="2024-11-25"/>
    <s v="Amit"/>
    <x v="2"/>
    <x v="2"/>
    <x v="0"/>
    <n v="4"/>
    <n v="15000"/>
    <n v="60000"/>
    <s v="Cash"/>
  </r>
  <r>
    <n v="1426"/>
    <s v="2024-02-09"/>
    <s v="Anjali"/>
    <x v="3"/>
    <x v="1"/>
    <x v="0"/>
    <n v="3"/>
    <n v="20000"/>
    <n v="60000"/>
    <s v="Cash"/>
  </r>
  <r>
    <n v="1430"/>
    <s v="2024-10-21"/>
    <s v="Rahul"/>
    <x v="2"/>
    <x v="2"/>
    <x v="0"/>
    <n v="4"/>
    <n v="15000"/>
    <n v="60000"/>
    <s v="UPI"/>
  </r>
  <r>
    <n v="1442"/>
    <s v="2024-05-13"/>
    <s v="Priya"/>
    <x v="2"/>
    <x v="1"/>
    <x v="0"/>
    <n v="3"/>
    <n v="20000"/>
    <n v="60000"/>
    <s v="Cash"/>
  </r>
  <r>
    <n v="1443"/>
    <s v="2024-04-24"/>
    <s v="Rahul"/>
    <x v="0"/>
    <x v="2"/>
    <x v="0"/>
    <n v="4"/>
    <n v="15000"/>
    <n v="60000"/>
    <s v="Cash"/>
  </r>
  <r>
    <n v="1483"/>
    <s v="2024-06-04"/>
    <s v="Rahul"/>
    <x v="1"/>
    <x v="1"/>
    <x v="0"/>
    <n v="3"/>
    <n v="20000"/>
    <n v="60000"/>
    <s v="Card"/>
  </r>
  <r>
    <n v="1497"/>
    <s v="2024-09-10"/>
    <s v="Rahul"/>
    <x v="2"/>
    <x v="1"/>
    <x v="0"/>
    <n v="3"/>
    <n v="20000"/>
    <n v="60000"/>
    <s v="Cash"/>
  </r>
  <r>
    <n v="1499"/>
    <s v="2024-02-25"/>
    <s v="Rahul"/>
    <x v="1"/>
    <x v="2"/>
    <x v="0"/>
    <n v="4"/>
    <n v="15000"/>
    <n v="60000"/>
    <s v="Cash"/>
  </r>
  <r>
    <n v="1073"/>
    <s v="2024-03-23"/>
    <s v="Kiran"/>
    <x v="3"/>
    <x v="0"/>
    <x v="0"/>
    <n v="1"/>
    <n v="55000"/>
    <n v="55000"/>
    <s v="Net Banking"/>
  </r>
  <r>
    <n v="1218"/>
    <s v="2024-11-08"/>
    <s v="Amit"/>
    <x v="2"/>
    <x v="0"/>
    <x v="0"/>
    <n v="1"/>
    <n v="55000"/>
    <n v="55000"/>
    <s v="Net Banking"/>
  </r>
  <r>
    <n v="1224"/>
    <s v="2024-10-14"/>
    <s v="Vikas"/>
    <x v="3"/>
    <x v="0"/>
    <x v="0"/>
    <n v="1"/>
    <n v="55000"/>
    <n v="55000"/>
    <s v="Net Banking"/>
  </r>
  <r>
    <n v="1228"/>
    <s v="2024-10-12"/>
    <s v="Vikas"/>
    <x v="3"/>
    <x v="0"/>
    <x v="0"/>
    <n v="1"/>
    <n v="55000"/>
    <n v="55000"/>
    <s v="Card"/>
  </r>
  <r>
    <n v="1293"/>
    <s v="2024-12-21"/>
    <s v="Rahul"/>
    <x v="3"/>
    <x v="0"/>
    <x v="0"/>
    <n v="1"/>
    <n v="55000"/>
    <n v="55000"/>
    <s v="Cash"/>
  </r>
  <r>
    <n v="1306"/>
    <s v="2024-07-12"/>
    <s v="Kiran"/>
    <x v="3"/>
    <x v="0"/>
    <x v="0"/>
    <n v="1"/>
    <n v="55000"/>
    <n v="55000"/>
    <s v="Cash"/>
  </r>
  <r>
    <n v="1336"/>
    <s v="2024-05-31"/>
    <s v="Priya"/>
    <x v="2"/>
    <x v="0"/>
    <x v="0"/>
    <n v="1"/>
    <n v="55000"/>
    <n v="55000"/>
    <s v="Card"/>
  </r>
  <r>
    <n v="1358"/>
    <s v="2024-10-17"/>
    <s v="Neha"/>
    <x v="3"/>
    <x v="0"/>
    <x v="0"/>
    <n v="1"/>
    <n v="55000"/>
    <n v="55000"/>
    <s v="Card"/>
  </r>
  <r>
    <n v="1423"/>
    <s v="2024-03-29"/>
    <s v="Kiran"/>
    <x v="0"/>
    <x v="0"/>
    <x v="0"/>
    <n v="1"/>
    <n v="55000"/>
    <n v="55000"/>
    <s v="UPI"/>
  </r>
  <r>
    <n v="1477"/>
    <s v="2024-07-01"/>
    <s v="Pooja"/>
    <x v="1"/>
    <x v="0"/>
    <x v="0"/>
    <n v="1"/>
    <n v="55000"/>
    <n v="55000"/>
    <s v="UPI"/>
  </r>
  <r>
    <n v="1479"/>
    <s v="2024-10-23"/>
    <s v="Ravi"/>
    <x v="0"/>
    <x v="0"/>
    <x v="0"/>
    <n v="1"/>
    <n v="55000"/>
    <n v="55000"/>
    <s v="UPI"/>
  </r>
  <r>
    <n v="1482"/>
    <s v="2024-07-13"/>
    <s v="Priya"/>
    <x v="3"/>
    <x v="0"/>
    <x v="0"/>
    <n v="1"/>
    <n v="55000"/>
    <n v="55000"/>
    <s v="Cash"/>
  </r>
  <r>
    <n v="1102"/>
    <s v="2024-06-04"/>
    <s v="Anjali"/>
    <x v="0"/>
    <x v="2"/>
    <x v="0"/>
    <n v="3"/>
    <n v="15000"/>
    <n v="45000"/>
    <s v="Cash"/>
  </r>
  <r>
    <n v="1121"/>
    <s v="2024-01-20"/>
    <s v="Priya"/>
    <x v="2"/>
    <x v="2"/>
    <x v="0"/>
    <n v="3"/>
    <n v="15000"/>
    <n v="45000"/>
    <s v="UPI"/>
  </r>
  <r>
    <n v="1134"/>
    <s v="2024-03-05"/>
    <s v="Suresh"/>
    <x v="2"/>
    <x v="2"/>
    <x v="0"/>
    <n v="3"/>
    <n v="15000"/>
    <n v="45000"/>
    <s v="UPI"/>
  </r>
  <r>
    <n v="1165"/>
    <s v="2024-12-11"/>
    <s v="Rahul"/>
    <x v="3"/>
    <x v="2"/>
    <x v="0"/>
    <n v="3"/>
    <n v="15000"/>
    <n v="45000"/>
    <s v="Card"/>
  </r>
  <r>
    <n v="1188"/>
    <s v="2024-06-01"/>
    <s v="Rahul"/>
    <x v="2"/>
    <x v="2"/>
    <x v="0"/>
    <n v="3"/>
    <n v="15000"/>
    <n v="45000"/>
    <s v="Net Banking"/>
  </r>
  <r>
    <n v="1203"/>
    <s v="2024-12-16"/>
    <s v="Pooja"/>
    <x v="2"/>
    <x v="2"/>
    <x v="0"/>
    <n v="3"/>
    <n v="15000"/>
    <n v="45000"/>
    <s v="Net Banking"/>
  </r>
  <r>
    <n v="1266"/>
    <s v="2024-03-23"/>
    <s v="Amit"/>
    <x v="2"/>
    <x v="2"/>
    <x v="0"/>
    <n v="3"/>
    <n v="15000"/>
    <n v="45000"/>
    <s v="Cash"/>
  </r>
  <r>
    <n v="1303"/>
    <s v="2024-04-08"/>
    <s v="Anjali"/>
    <x v="2"/>
    <x v="2"/>
    <x v="0"/>
    <n v="3"/>
    <n v="15000"/>
    <n v="45000"/>
    <s v="UPI"/>
  </r>
  <r>
    <n v="1326"/>
    <s v="2024-03-16"/>
    <s v="Ravi"/>
    <x v="1"/>
    <x v="2"/>
    <x v="0"/>
    <n v="3"/>
    <n v="15000"/>
    <n v="45000"/>
    <s v="Net Banking"/>
  </r>
  <r>
    <n v="1357"/>
    <s v="2024-03-23"/>
    <s v="Ravi"/>
    <x v="3"/>
    <x v="2"/>
    <x v="0"/>
    <n v="3"/>
    <n v="15000"/>
    <n v="45000"/>
    <s v="Card"/>
  </r>
  <r>
    <n v="1374"/>
    <s v="2024-04-20"/>
    <s v="Amit"/>
    <x v="0"/>
    <x v="2"/>
    <x v="0"/>
    <n v="3"/>
    <n v="15000"/>
    <n v="45000"/>
    <s v="Net Banking"/>
  </r>
  <r>
    <n v="1040"/>
    <s v="2024-07-04"/>
    <s v="Vikas"/>
    <x v="0"/>
    <x v="3"/>
    <x v="1"/>
    <n v="5"/>
    <n v="8000"/>
    <n v="40000"/>
    <s v="Card"/>
  </r>
  <r>
    <n v="1065"/>
    <s v="2024-09-18"/>
    <s v="Rahul"/>
    <x v="3"/>
    <x v="1"/>
    <x v="0"/>
    <n v="2"/>
    <n v="20000"/>
    <n v="40000"/>
    <s v="Cash"/>
  </r>
  <r>
    <n v="1093"/>
    <s v="2024-12-17"/>
    <s v="Amit"/>
    <x v="0"/>
    <x v="1"/>
    <x v="0"/>
    <n v="2"/>
    <n v="20000"/>
    <n v="40000"/>
    <s v="Net Banking"/>
  </r>
  <r>
    <n v="1113"/>
    <s v="2024-12-20"/>
    <s v="Neha"/>
    <x v="3"/>
    <x v="1"/>
    <x v="0"/>
    <n v="2"/>
    <n v="20000"/>
    <n v="40000"/>
    <s v="Cash"/>
  </r>
  <r>
    <n v="1125"/>
    <s v="2024-09-22"/>
    <s v="Anjali"/>
    <x v="1"/>
    <x v="3"/>
    <x v="1"/>
    <n v="5"/>
    <n v="8000"/>
    <n v="40000"/>
    <s v="Net Banking"/>
  </r>
  <r>
    <n v="1133"/>
    <s v="2024-04-04"/>
    <s v="Amit"/>
    <x v="3"/>
    <x v="3"/>
    <x v="1"/>
    <n v="5"/>
    <n v="8000"/>
    <n v="40000"/>
    <s v="UPI"/>
  </r>
  <r>
    <n v="1158"/>
    <s v="2024-03-15"/>
    <s v="Ravi"/>
    <x v="1"/>
    <x v="1"/>
    <x v="0"/>
    <n v="2"/>
    <n v="20000"/>
    <n v="40000"/>
    <s v="Cash"/>
  </r>
  <r>
    <n v="1180"/>
    <s v="2024-01-15"/>
    <s v="Priya"/>
    <x v="0"/>
    <x v="3"/>
    <x v="1"/>
    <n v="5"/>
    <n v="8000"/>
    <n v="40000"/>
    <s v="Cash"/>
  </r>
  <r>
    <n v="1190"/>
    <s v="2024-12-29"/>
    <s v="Rahul"/>
    <x v="3"/>
    <x v="1"/>
    <x v="0"/>
    <n v="2"/>
    <n v="20000"/>
    <n v="40000"/>
    <s v="UPI"/>
  </r>
  <r>
    <n v="1196"/>
    <s v="2024-12-17"/>
    <s v="Pooja"/>
    <x v="1"/>
    <x v="1"/>
    <x v="0"/>
    <n v="2"/>
    <n v="20000"/>
    <n v="40000"/>
    <s v="UPI"/>
  </r>
  <r>
    <n v="1202"/>
    <s v="2024-09-21"/>
    <s v="Vikas"/>
    <x v="3"/>
    <x v="3"/>
    <x v="1"/>
    <n v="5"/>
    <n v="8000"/>
    <n v="40000"/>
    <s v="Net Banking"/>
  </r>
  <r>
    <n v="1205"/>
    <s v="2024-03-17"/>
    <s v="Rahul"/>
    <x v="3"/>
    <x v="3"/>
    <x v="1"/>
    <n v="5"/>
    <n v="8000"/>
    <n v="40000"/>
    <s v="Card"/>
  </r>
  <r>
    <n v="1213"/>
    <s v="2024-03-29"/>
    <s v="Kiran"/>
    <x v="0"/>
    <x v="1"/>
    <x v="0"/>
    <n v="2"/>
    <n v="20000"/>
    <n v="40000"/>
    <s v="UPI"/>
  </r>
  <r>
    <n v="1214"/>
    <s v="2024-02-10"/>
    <s v="Rahul"/>
    <x v="1"/>
    <x v="3"/>
    <x v="1"/>
    <n v="5"/>
    <n v="8000"/>
    <n v="40000"/>
    <s v="Card"/>
  </r>
  <r>
    <n v="1273"/>
    <s v="2024-11-09"/>
    <s v="Vikas"/>
    <x v="0"/>
    <x v="3"/>
    <x v="1"/>
    <n v="5"/>
    <n v="8000"/>
    <n v="40000"/>
    <s v="Net Banking"/>
  </r>
  <r>
    <n v="1280"/>
    <s v="2024-04-21"/>
    <s v="Vikas"/>
    <x v="0"/>
    <x v="1"/>
    <x v="0"/>
    <n v="2"/>
    <n v="20000"/>
    <n v="40000"/>
    <s v="Cash"/>
  </r>
  <r>
    <n v="1311"/>
    <s v="2024-02-09"/>
    <s v="Pooja"/>
    <x v="3"/>
    <x v="3"/>
    <x v="1"/>
    <n v="5"/>
    <n v="8000"/>
    <n v="40000"/>
    <s v="UPI"/>
  </r>
  <r>
    <n v="1319"/>
    <s v="2024-11-15"/>
    <s v="Kiran"/>
    <x v="3"/>
    <x v="1"/>
    <x v="0"/>
    <n v="2"/>
    <n v="20000"/>
    <n v="40000"/>
    <s v="Card"/>
  </r>
  <r>
    <n v="1321"/>
    <s v="2024-06-16"/>
    <s v="Priya"/>
    <x v="2"/>
    <x v="1"/>
    <x v="0"/>
    <n v="2"/>
    <n v="20000"/>
    <n v="40000"/>
    <s v="UPI"/>
  </r>
  <r>
    <n v="1342"/>
    <s v="2024-04-29"/>
    <s v="Neha"/>
    <x v="3"/>
    <x v="1"/>
    <x v="0"/>
    <n v="2"/>
    <n v="20000"/>
    <n v="40000"/>
    <s v="Card"/>
  </r>
  <r>
    <n v="1385"/>
    <s v="2024-09-05"/>
    <s v="Neha"/>
    <x v="2"/>
    <x v="1"/>
    <x v="0"/>
    <n v="2"/>
    <n v="20000"/>
    <n v="40000"/>
    <s v="UPI"/>
  </r>
  <r>
    <n v="1425"/>
    <s v="2024-01-05"/>
    <s v="Pooja"/>
    <x v="2"/>
    <x v="3"/>
    <x v="1"/>
    <n v="5"/>
    <n v="8000"/>
    <n v="40000"/>
    <s v="Cash"/>
  </r>
  <r>
    <n v="1432"/>
    <s v="2024-08-25"/>
    <s v="Rahul"/>
    <x v="2"/>
    <x v="3"/>
    <x v="1"/>
    <n v="5"/>
    <n v="8000"/>
    <n v="40000"/>
    <s v="UPI"/>
  </r>
  <r>
    <n v="1436"/>
    <s v="2024-08-23"/>
    <s v="Priya"/>
    <x v="0"/>
    <x v="1"/>
    <x v="0"/>
    <n v="2"/>
    <n v="20000"/>
    <n v="40000"/>
    <s v="Card"/>
  </r>
  <r>
    <n v="1449"/>
    <s v="2024-06-28"/>
    <s v="Pooja"/>
    <x v="0"/>
    <x v="3"/>
    <x v="1"/>
    <n v="5"/>
    <n v="8000"/>
    <n v="40000"/>
    <s v="UPI"/>
  </r>
  <r>
    <n v="1463"/>
    <s v="2024-10-24"/>
    <s v="Anjali"/>
    <x v="0"/>
    <x v="3"/>
    <x v="1"/>
    <n v="5"/>
    <n v="8000"/>
    <n v="40000"/>
    <s v="Card"/>
  </r>
  <r>
    <n v="1486"/>
    <s v="2024-02-24"/>
    <s v="Amit"/>
    <x v="3"/>
    <x v="1"/>
    <x v="0"/>
    <n v="2"/>
    <n v="20000"/>
    <n v="40000"/>
    <s v="UPI"/>
  </r>
  <r>
    <n v="1489"/>
    <s v="2024-09-22"/>
    <s v="Vikas"/>
    <x v="0"/>
    <x v="3"/>
    <x v="1"/>
    <n v="5"/>
    <n v="8000"/>
    <n v="40000"/>
    <s v="Net Banking"/>
  </r>
  <r>
    <n v="1075"/>
    <s v="2024-11-23"/>
    <s v="Anjali"/>
    <x v="1"/>
    <x v="3"/>
    <x v="1"/>
    <n v="4"/>
    <n v="8000"/>
    <n v="32000"/>
    <s v="Card"/>
  </r>
  <r>
    <n v="1087"/>
    <s v="2024-05-05"/>
    <s v="Suresh"/>
    <x v="2"/>
    <x v="3"/>
    <x v="1"/>
    <n v="4"/>
    <n v="8000"/>
    <n v="32000"/>
    <s v="UPI"/>
  </r>
  <r>
    <n v="1181"/>
    <s v="2024-06-30"/>
    <s v="Priya"/>
    <x v="3"/>
    <x v="3"/>
    <x v="1"/>
    <n v="4"/>
    <n v="8000"/>
    <n v="32000"/>
    <s v="UPI"/>
  </r>
  <r>
    <n v="1231"/>
    <s v="2024-03-05"/>
    <s v="Priya"/>
    <x v="1"/>
    <x v="3"/>
    <x v="1"/>
    <n v="4"/>
    <n v="8000"/>
    <n v="32000"/>
    <s v="Net Banking"/>
  </r>
  <r>
    <n v="1250"/>
    <s v="2024-04-01"/>
    <s v="Rahul"/>
    <x v="2"/>
    <x v="3"/>
    <x v="1"/>
    <n v="4"/>
    <n v="8000"/>
    <n v="32000"/>
    <s v="Card"/>
  </r>
  <r>
    <n v="1282"/>
    <s v="2024-08-14"/>
    <s v="Pooja"/>
    <x v="1"/>
    <x v="3"/>
    <x v="1"/>
    <n v="4"/>
    <n v="8000"/>
    <n v="32000"/>
    <s v="UPI"/>
  </r>
  <r>
    <n v="1417"/>
    <s v="2024-04-06"/>
    <s v="Amit"/>
    <x v="1"/>
    <x v="3"/>
    <x v="1"/>
    <n v="4"/>
    <n v="8000"/>
    <n v="32000"/>
    <s v="Net Banking"/>
  </r>
  <r>
    <n v="1453"/>
    <s v="2024-07-22"/>
    <s v="Ravi"/>
    <x v="2"/>
    <x v="3"/>
    <x v="1"/>
    <n v="4"/>
    <n v="8000"/>
    <n v="32000"/>
    <s v="Card"/>
  </r>
  <r>
    <n v="1004"/>
    <s v="2024-04-03"/>
    <s v="Neha"/>
    <x v="1"/>
    <x v="2"/>
    <x v="0"/>
    <n v="2"/>
    <n v="15000"/>
    <n v="30000"/>
    <s v="Cash"/>
  </r>
  <r>
    <n v="1055"/>
    <s v="2024-12-19"/>
    <s v="Rahul"/>
    <x v="0"/>
    <x v="2"/>
    <x v="0"/>
    <n v="2"/>
    <n v="15000"/>
    <n v="30000"/>
    <s v="Cash"/>
  </r>
  <r>
    <n v="1135"/>
    <s v="2024-04-25"/>
    <s v="Amit"/>
    <x v="1"/>
    <x v="2"/>
    <x v="0"/>
    <n v="2"/>
    <n v="15000"/>
    <n v="30000"/>
    <s v="Net Banking"/>
  </r>
  <r>
    <n v="1253"/>
    <s v="2024-07-18"/>
    <s v="Priya"/>
    <x v="0"/>
    <x v="2"/>
    <x v="0"/>
    <n v="2"/>
    <n v="15000"/>
    <n v="30000"/>
    <s v="Net Banking"/>
  </r>
  <r>
    <n v="1301"/>
    <s v="2024-07-16"/>
    <s v="Rahul"/>
    <x v="3"/>
    <x v="2"/>
    <x v="0"/>
    <n v="2"/>
    <n v="15000"/>
    <n v="30000"/>
    <s v="Card"/>
  </r>
  <r>
    <n v="1386"/>
    <s v="2024-05-16"/>
    <s v="Rahul"/>
    <x v="2"/>
    <x v="2"/>
    <x v="0"/>
    <n v="2"/>
    <n v="15000"/>
    <n v="30000"/>
    <s v="Net Banking"/>
  </r>
  <r>
    <n v="1390"/>
    <s v="2024-06-22"/>
    <s v="Pooja"/>
    <x v="0"/>
    <x v="2"/>
    <x v="0"/>
    <n v="2"/>
    <n v="15000"/>
    <n v="30000"/>
    <s v="Card"/>
  </r>
  <r>
    <n v="1398"/>
    <s v="2024-07-25"/>
    <s v="Anjali"/>
    <x v="0"/>
    <x v="2"/>
    <x v="0"/>
    <n v="2"/>
    <n v="15000"/>
    <n v="30000"/>
    <s v="Cash"/>
  </r>
  <r>
    <n v="1428"/>
    <s v="2024-12-30"/>
    <s v="Neha"/>
    <x v="0"/>
    <x v="2"/>
    <x v="0"/>
    <n v="2"/>
    <n v="15000"/>
    <n v="30000"/>
    <s v="UPI"/>
  </r>
  <r>
    <n v="1464"/>
    <s v="2024-03-05"/>
    <s v="Neha"/>
    <x v="2"/>
    <x v="2"/>
    <x v="0"/>
    <n v="2"/>
    <n v="15000"/>
    <n v="30000"/>
    <s v="Card"/>
  </r>
  <r>
    <n v="1469"/>
    <s v="2024-01-24"/>
    <s v="Rahul"/>
    <x v="1"/>
    <x v="2"/>
    <x v="0"/>
    <n v="2"/>
    <n v="15000"/>
    <n v="30000"/>
    <s v="Net Banking"/>
  </r>
  <r>
    <n v="1496"/>
    <s v="2024-02-08"/>
    <s v="Rahul"/>
    <x v="3"/>
    <x v="2"/>
    <x v="0"/>
    <n v="2"/>
    <n v="15000"/>
    <n v="30000"/>
    <s v="Net Banking"/>
  </r>
  <r>
    <n v="1001"/>
    <s v="2024-01-23"/>
    <s v="Amit"/>
    <x v="0"/>
    <x v="3"/>
    <x v="1"/>
    <n v="3"/>
    <n v="8000"/>
    <n v="24000"/>
    <s v="Net Banking"/>
  </r>
  <r>
    <n v="1090"/>
    <s v="2024-01-14"/>
    <s v="Ravi"/>
    <x v="2"/>
    <x v="3"/>
    <x v="1"/>
    <n v="3"/>
    <n v="8000"/>
    <n v="24000"/>
    <s v="Card"/>
  </r>
  <r>
    <n v="1139"/>
    <s v="2024-07-01"/>
    <s v="Neha"/>
    <x v="0"/>
    <x v="3"/>
    <x v="1"/>
    <n v="3"/>
    <n v="8000"/>
    <n v="24000"/>
    <s v="Card"/>
  </r>
  <r>
    <n v="1169"/>
    <s v="2024-10-19"/>
    <s v="Pooja"/>
    <x v="2"/>
    <x v="3"/>
    <x v="1"/>
    <n v="3"/>
    <n v="8000"/>
    <n v="24000"/>
    <s v="Card"/>
  </r>
  <r>
    <n v="1172"/>
    <s v="2024-01-23"/>
    <s v="Suresh"/>
    <x v="2"/>
    <x v="3"/>
    <x v="1"/>
    <n v="3"/>
    <n v="8000"/>
    <n v="24000"/>
    <s v="UPI"/>
  </r>
  <r>
    <n v="1235"/>
    <s v="2024-06-11"/>
    <s v="Suresh"/>
    <x v="3"/>
    <x v="3"/>
    <x v="1"/>
    <n v="3"/>
    <n v="8000"/>
    <n v="24000"/>
    <s v="UPI"/>
  </r>
  <r>
    <n v="1369"/>
    <s v="2024-07-01"/>
    <s v="Priya"/>
    <x v="1"/>
    <x v="3"/>
    <x v="1"/>
    <n v="3"/>
    <n v="8000"/>
    <n v="24000"/>
    <s v="UPI"/>
  </r>
  <r>
    <n v="1376"/>
    <s v="2024-02-24"/>
    <s v="Kiran"/>
    <x v="1"/>
    <x v="3"/>
    <x v="1"/>
    <n v="3"/>
    <n v="8000"/>
    <n v="24000"/>
    <s v="UPI"/>
  </r>
  <r>
    <n v="1379"/>
    <s v="2024-02-25"/>
    <s v="Priya"/>
    <x v="3"/>
    <x v="3"/>
    <x v="1"/>
    <n v="3"/>
    <n v="8000"/>
    <n v="24000"/>
    <s v="Cash"/>
  </r>
  <r>
    <n v="1391"/>
    <s v="2024-10-26"/>
    <s v="Rahul"/>
    <x v="0"/>
    <x v="3"/>
    <x v="1"/>
    <n v="3"/>
    <n v="8000"/>
    <n v="24000"/>
    <s v="UPI"/>
  </r>
  <r>
    <n v="1407"/>
    <s v="2024-01-05"/>
    <s v="Priya"/>
    <x v="1"/>
    <x v="3"/>
    <x v="1"/>
    <n v="3"/>
    <n v="8000"/>
    <n v="24000"/>
    <s v="Cash"/>
  </r>
  <r>
    <n v="1455"/>
    <s v="2024-07-16"/>
    <s v="Kiran"/>
    <x v="3"/>
    <x v="3"/>
    <x v="1"/>
    <n v="3"/>
    <n v="8000"/>
    <n v="24000"/>
    <s v="UPI"/>
  </r>
  <r>
    <n v="1476"/>
    <s v="2024-05-02"/>
    <s v="Amit"/>
    <x v="1"/>
    <x v="3"/>
    <x v="1"/>
    <n v="3"/>
    <n v="8000"/>
    <n v="24000"/>
    <s v="Card"/>
  </r>
  <r>
    <n v="1043"/>
    <s v="2024-03-19"/>
    <s v="Suresh"/>
    <x v="3"/>
    <x v="4"/>
    <x v="1"/>
    <n v="5"/>
    <n v="4500"/>
    <n v="22500"/>
    <s v="Card"/>
  </r>
  <r>
    <n v="1110"/>
    <s v="2024-10-09"/>
    <s v="Vikas"/>
    <x v="3"/>
    <x v="4"/>
    <x v="1"/>
    <n v="5"/>
    <n v="4500"/>
    <n v="22500"/>
    <s v="UPI"/>
  </r>
  <r>
    <n v="1127"/>
    <s v="2024-01-22"/>
    <s v="Kiran"/>
    <x v="1"/>
    <x v="4"/>
    <x v="1"/>
    <n v="5"/>
    <n v="4500"/>
    <n v="22500"/>
    <s v="Card"/>
  </r>
  <r>
    <n v="1156"/>
    <s v="2024-03-13"/>
    <s v="Vikas"/>
    <x v="2"/>
    <x v="4"/>
    <x v="1"/>
    <n v="5"/>
    <n v="4500"/>
    <n v="22500"/>
    <s v="UPI"/>
  </r>
  <r>
    <n v="1163"/>
    <s v="2024-04-04"/>
    <s v="Rahul"/>
    <x v="3"/>
    <x v="4"/>
    <x v="1"/>
    <n v="5"/>
    <n v="4500"/>
    <n v="22500"/>
    <s v="UPI"/>
  </r>
  <r>
    <n v="1195"/>
    <s v="2024-06-03"/>
    <s v="Vikas"/>
    <x v="0"/>
    <x v="4"/>
    <x v="1"/>
    <n v="5"/>
    <n v="4500"/>
    <n v="22500"/>
    <s v="Card"/>
  </r>
  <r>
    <n v="1227"/>
    <s v="2024-09-13"/>
    <s v="Anjali"/>
    <x v="1"/>
    <x v="4"/>
    <x v="1"/>
    <n v="5"/>
    <n v="4500"/>
    <n v="22500"/>
    <s v="UPI"/>
  </r>
  <r>
    <n v="1240"/>
    <s v="2024-02-02"/>
    <s v="Ravi"/>
    <x v="1"/>
    <x v="4"/>
    <x v="1"/>
    <n v="5"/>
    <n v="4500"/>
    <n v="22500"/>
    <s v="Card"/>
  </r>
  <r>
    <n v="1267"/>
    <s v="2024-09-21"/>
    <s v="Priya"/>
    <x v="0"/>
    <x v="4"/>
    <x v="1"/>
    <n v="5"/>
    <n v="4500"/>
    <n v="22500"/>
    <s v="UPI"/>
  </r>
  <r>
    <n v="1278"/>
    <s v="2024-03-08"/>
    <s v="Anjali"/>
    <x v="3"/>
    <x v="4"/>
    <x v="1"/>
    <n v="5"/>
    <n v="4500"/>
    <n v="22500"/>
    <s v="UPI"/>
  </r>
  <r>
    <n v="1473"/>
    <s v="2024-04-19"/>
    <s v="Priya"/>
    <x v="1"/>
    <x v="4"/>
    <x v="1"/>
    <n v="5"/>
    <n v="4500"/>
    <n v="22500"/>
    <s v="UPI"/>
  </r>
  <r>
    <n v="1478"/>
    <s v="2024-03-15"/>
    <s v="Priya"/>
    <x v="2"/>
    <x v="4"/>
    <x v="1"/>
    <n v="5"/>
    <n v="4500"/>
    <n v="22500"/>
    <s v="Cash"/>
  </r>
  <r>
    <n v="1015"/>
    <s v="2024-06-07"/>
    <s v="Priya"/>
    <x v="0"/>
    <x v="1"/>
    <x v="0"/>
    <n v="1"/>
    <n v="20000"/>
    <n v="20000"/>
    <s v="UPI"/>
  </r>
  <r>
    <n v="1030"/>
    <s v="2024-04-25"/>
    <s v="Amit"/>
    <x v="0"/>
    <x v="1"/>
    <x v="0"/>
    <n v="1"/>
    <n v="20000"/>
    <n v="20000"/>
    <s v="Card"/>
  </r>
  <r>
    <n v="1039"/>
    <s v="2024-01-20"/>
    <s v="Anjali"/>
    <x v="3"/>
    <x v="1"/>
    <x v="0"/>
    <n v="1"/>
    <n v="20000"/>
    <n v="20000"/>
    <s v="Card"/>
  </r>
  <r>
    <n v="1051"/>
    <s v="2024-12-19"/>
    <s v="Rahul"/>
    <x v="2"/>
    <x v="1"/>
    <x v="0"/>
    <n v="1"/>
    <n v="20000"/>
    <n v="20000"/>
    <s v="Cash"/>
  </r>
  <r>
    <n v="1094"/>
    <s v="2024-07-09"/>
    <s v="Amit"/>
    <x v="2"/>
    <x v="1"/>
    <x v="0"/>
    <n v="1"/>
    <n v="20000"/>
    <n v="20000"/>
    <s v="UPI"/>
  </r>
  <r>
    <n v="1140"/>
    <s v="2024-12-15"/>
    <s v="Vikas"/>
    <x v="3"/>
    <x v="1"/>
    <x v="0"/>
    <n v="1"/>
    <n v="20000"/>
    <n v="20000"/>
    <s v="Card"/>
  </r>
  <r>
    <n v="1157"/>
    <s v="2024-03-01"/>
    <s v="Ravi"/>
    <x v="3"/>
    <x v="1"/>
    <x v="0"/>
    <n v="1"/>
    <n v="20000"/>
    <n v="20000"/>
    <s v="Net Banking"/>
  </r>
  <r>
    <n v="1310"/>
    <s v="2024-01-06"/>
    <s v="Rahul"/>
    <x v="3"/>
    <x v="1"/>
    <x v="0"/>
    <n v="1"/>
    <n v="20000"/>
    <n v="20000"/>
    <s v="UPI"/>
  </r>
  <r>
    <n v="1405"/>
    <s v="2024-03-15"/>
    <s v="Rahul"/>
    <x v="2"/>
    <x v="1"/>
    <x v="0"/>
    <n v="1"/>
    <n v="20000"/>
    <n v="20000"/>
    <s v="Net Banking"/>
  </r>
  <r>
    <n v="1420"/>
    <s v="2024-10-16"/>
    <s v="Rahul"/>
    <x v="2"/>
    <x v="1"/>
    <x v="0"/>
    <n v="1"/>
    <n v="20000"/>
    <n v="20000"/>
    <s v="Net Banking"/>
  </r>
  <r>
    <n v="1490"/>
    <s v="2024-11-16"/>
    <s v="Ravi"/>
    <x v="0"/>
    <x v="1"/>
    <x v="0"/>
    <n v="1"/>
    <n v="20000"/>
    <n v="20000"/>
    <s v="Cash"/>
  </r>
  <r>
    <n v="1003"/>
    <s v="2024-01-20"/>
    <s v="Pooja"/>
    <x v="3"/>
    <x v="4"/>
    <x v="1"/>
    <n v="4"/>
    <n v="4500"/>
    <n v="18000"/>
    <s v="Cash"/>
  </r>
  <r>
    <n v="1041"/>
    <s v="2024-11-26"/>
    <s v="Kiran"/>
    <x v="0"/>
    <x v="4"/>
    <x v="1"/>
    <n v="4"/>
    <n v="4500"/>
    <n v="18000"/>
    <s v="Cash"/>
  </r>
  <r>
    <n v="1057"/>
    <s v="2024-11-07"/>
    <s v="Ravi"/>
    <x v="0"/>
    <x v="4"/>
    <x v="1"/>
    <n v="4"/>
    <n v="4500"/>
    <n v="18000"/>
    <s v="Net Banking"/>
  </r>
  <r>
    <n v="1080"/>
    <s v="2024-05-12"/>
    <s v="Ravi"/>
    <x v="0"/>
    <x v="4"/>
    <x v="1"/>
    <n v="4"/>
    <n v="4500"/>
    <n v="18000"/>
    <s v="Net Banking"/>
  </r>
  <r>
    <n v="1109"/>
    <s v="2024-04-07"/>
    <s v="Pooja"/>
    <x v="3"/>
    <x v="4"/>
    <x v="1"/>
    <n v="4"/>
    <n v="4500"/>
    <n v="18000"/>
    <s v="UPI"/>
  </r>
  <r>
    <n v="1120"/>
    <s v="2024-08-02"/>
    <s v="Suresh"/>
    <x v="0"/>
    <x v="4"/>
    <x v="1"/>
    <n v="4"/>
    <n v="4500"/>
    <n v="18000"/>
    <s v="Card"/>
  </r>
  <r>
    <n v="1160"/>
    <s v="2024-09-14"/>
    <s v="Suresh"/>
    <x v="0"/>
    <x v="4"/>
    <x v="1"/>
    <n v="4"/>
    <n v="4500"/>
    <n v="18000"/>
    <s v="Card"/>
  </r>
  <r>
    <n v="1170"/>
    <s v="2024-02-09"/>
    <s v="Suresh"/>
    <x v="3"/>
    <x v="4"/>
    <x v="1"/>
    <n v="4"/>
    <n v="4500"/>
    <n v="18000"/>
    <s v="Cash"/>
  </r>
  <r>
    <n v="1285"/>
    <s v="2024-10-24"/>
    <s v="Pooja"/>
    <x v="1"/>
    <x v="4"/>
    <x v="1"/>
    <n v="4"/>
    <n v="4500"/>
    <n v="18000"/>
    <s v="Cash"/>
  </r>
  <r>
    <n v="1331"/>
    <s v="2024-09-23"/>
    <s v="Ravi"/>
    <x v="0"/>
    <x v="4"/>
    <x v="1"/>
    <n v="4"/>
    <n v="4500"/>
    <n v="18000"/>
    <s v="Cash"/>
  </r>
  <r>
    <n v="1364"/>
    <s v="2024-01-07"/>
    <s v="Kiran"/>
    <x v="0"/>
    <x v="4"/>
    <x v="1"/>
    <n v="4"/>
    <n v="4500"/>
    <n v="18000"/>
    <s v="Cash"/>
  </r>
  <r>
    <n v="1366"/>
    <s v="2024-11-26"/>
    <s v="Amit"/>
    <x v="2"/>
    <x v="4"/>
    <x v="1"/>
    <n v="4"/>
    <n v="4500"/>
    <n v="18000"/>
    <s v="UPI"/>
  </r>
  <r>
    <n v="1451"/>
    <s v="2024-04-03"/>
    <s v="Priya"/>
    <x v="2"/>
    <x v="4"/>
    <x v="1"/>
    <n v="4"/>
    <n v="4500"/>
    <n v="18000"/>
    <s v="Card"/>
  </r>
  <r>
    <n v="1014"/>
    <s v="2024-05-03"/>
    <s v="Anjali"/>
    <x v="2"/>
    <x v="3"/>
    <x v="1"/>
    <n v="2"/>
    <n v="8000"/>
    <n v="16000"/>
    <s v="Net Banking"/>
  </r>
  <r>
    <n v="1131"/>
    <s v="2024-06-04"/>
    <s v="Amit"/>
    <x v="0"/>
    <x v="3"/>
    <x v="1"/>
    <n v="2"/>
    <n v="8000"/>
    <n v="16000"/>
    <s v="UPI"/>
  </r>
  <r>
    <n v="1164"/>
    <s v="2024-04-13"/>
    <s v="Neha"/>
    <x v="2"/>
    <x v="3"/>
    <x v="1"/>
    <n v="2"/>
    <n v="8000"/>
    <n v="16000"/>
    <s v="UPI"/>
  </r>
  <r>
    <n v="1189"/>
    <s v="2024-04-26"/>
    <s v="Ravi"/>
    <x v="2"/>
    <x v="3"/>
    <x v="1"/>
    <n v="2"/>
    <n v="8000"/>
    <n v="16000"/>
    <s v="Net Banking"/>
  </r>
  <r>
    <n v="1210"/>
    <s v="2024-10-18"/>
    <s v="Neha"/>
    <x v="1"/>
    <x v="3"/>
    <x v="1"/>
    <n v="2"/>
    <n v="8000"/>
    <n v="16000"/>
    <s v="UPI"/>
  </r>
  <r>
    <n v="1302"/>
    <s v="2024-01-29"/>
    <s v="Anjali"/>
    <x v="0"/>
    <x v="3"/>
    <x v="1"/>
    <n v="2"/>
    <n v="8000"/>
    <n v="16000"/>
    <s v="UPI"/>
  </r>
  <r>
    <n v="1313"/>
    <s v="2024-11-07"/>
    <s v="Neha"/>
    <x v="2"/>
    <x v="3"/>
    <x v="1"/>
    <n v="2"/>
    <n v="8000"/>
    <n v="16000"/>
    <s v="Net Banking"/>
  </r>
  <r>
    <n v="1325"/>
    <s v="2024-06-05"/>
    <s v="Pooja"/>
    <x v="3"/>
    <x v="3"/>
    <x v="1"/>
    <n v="2"/>
    <n v="8000"/>
    <n v="16000"/>
    <s v="Net Banking"/>
  </r>
  <r>
    <n v="1344"/>
    <s v="2024-02-01"/>
    <s v="Suresh"/>
    <x v="3"/>
    <x v="3"/>
    <x v="1"/>
    <n v="2"/>
    <n v="8000"/>
    <n v="16000"/>
    <s v="Cash"/>
  </r>
  <r>
    <n v="1393"/>
    <s v="2024-12-12"/>
    <s v="Priya"/>
    <x v="2"/>
    <x v="3"/>
    <x v="1"/>
    <n v="2"/>
    <n v="8000"/>
    <n v="16000"/>
    <s v="Card"/>
  </r>
  <r>
    <n v="1435"/>
    <s v="2024-12-16"/>
    <s v="Kiran"/>
    <x v="1"/>
    <x v="3"/>
    <x v="1"/>
    <n v="2"/>
    <n v="8000"/>
    <n v="16000"/>
    <s v="Cash"/>
  </r>
  <r>
    <n v="1024"/>
    <s v="2024-07-11"/>
    <s v="Anjali"/>
    <x v="2"/>
    <x v="2"/>
    <x v="0"/>
    <n v="1"/>
    <n v="15000"/>
    <n v="15000"/>
    <s v="Card"/>
  </r>
  <r>
    <n v="1025"/>
    <s v="2024-10-28"/>
    <s v="Pooja"/>
    <x v="1"/>
    <x v="2"/>
    <x v="0"/>
    <n v="1"/>
    <n v="15000"/>
    <n v="15000"/>
    <s v="Cash"/>
  </r>
  <r>
    <n v="1042"/>
    <s v="2024-05-26"/>
    <s v="Ravi"/>
    <x v="2"/>
    <x v="2"/>
    <x v="0"/>
    <n v="1"/>
    <n v="15000"/>
    <n v="15000"/>
    <s v="UPI"/>
  </r>
  <r>
    <n v="1132"/>
    <s v="2024-10-23"/>
    <s v="Anjali"/>
    <x v="3"/>
    <x v="2"/>
    <x v="0"/>
    <n v="1"/>
    <n v="15000"/>
    <n v="15000"/>
    <s v="Card"/>
  </r>
  <r>
    <n v="1222"/>
    <s v="2024-08-30"/>
    <s v="Vikas"/>
    <x v="1"/>
    <x v="2"/>
    <x v="0"/>
    <n v="1"/>
    <n v="15000"/>
    <n v="15000"/>
    <s v="Cash"/>
  </r>
  <r>
    <n v="1223"/>
    <s v="2024-01-14"/>
    <s v="Rahul"/>
    <x v="3"/>
    <x v="2"/>
    <x v="0"/>
    <n v="1"/>
    <n v="15000"/>
    <n v="15000"/>
    <s v="UPI"/>
  </r>
  <r>
    <n v="1281"/>
    <s v="2024-06-08"/>
    <s v="Anjali"/>
    <x v="1"/>
    <x v="2"/>
    <x v="0"/>
    <n v="1"/>
    <n v="15000"/>
    <n v="15000"/>
    <s v="Net Banking"/>
  </r>
  <r>
    <n v="1288"/>
    <s v="2024-11-06"/>
    <s v="Rahul"/>
    <x v="1"/>
    <x v="2"/>
    <x v="0"/>
    <n v="1"/>
    <n v="15000"/>
    <n v="15000"/>
    <s v="Cash"/>
  </r>
  <r>
    <n v="1308"/>
    <s v="2024-09-04"/>
    <s v="Vikas"/>
    <x v="0"/>
    <x v="2"/>
    <x v="0"/>
    <n v="1"/>
    <n v="15000"/>
    <n v="15000"/>
    <s v="Card"/>
  </r>
  <r>
    <n v="1343"/>
    <s v="2024-02-19"/>
    <s v="Anjali"/>
    <x v="3"/>
    <x v="2"/>
    <x v="0"/>
    <n v="1"/>
    <n v="15000"/>
    <n v="15000"/>
    <s v="Card"/>
  </r>
  <r>
    <n v="1348"/>
    <s v="2024-07-08"/>
    <s v="Rahul"/>
    <x v="2"/>
    <x v="2"/>
    <x v="0"/>
    <n v="1"/>
    <n v="15000"/>
    <n v="15000"/>
    <s v="Cash"/>
  </r>
  <r>
    <n v="1380"/>
    <s v="2024-11-25"/>
    <s v="Priya"/>
    <x v="2"/>
    <x v="2"/>
    <x v="0"/>
    <n v="1"/>
    <n v="15000"/>
    <n v="15000"/>
    <s v="Cash"/>
  </r>
  <r>
    <n v="1418"/>
    <s v="2024-01-12"/>
    <s v="Vikas"/>
    <x v="1"/>
    <x v="2"/>
    <x v="0"/>
    <n v="1"/>
    <n v="15000"/>
    <n v="15000"/>
    <s v="Cash"/>
  </r>
  <r>
    <n v="1461"/>
    <s v="2024-10-26"/>
    <s v="Rahul"/>
    <x v="0"/>
    <x v="2"/>
    <x v="0"/>
    <n v="1"/>
    <n v="15000"/>
    <n v="15000"/>
    <s v="Cash"/>
  </r>
  <r>
    <n v="1002"/>
    <s v="2024-07-16"/>
    <s v="Amit"/>
    <x v="1"/>
    <x v="4"/>
    <x v="1"/>
    <n v="3"/>
    <n v="4500"/>
    <n v="13500"/>
    <s v="Cash"/>
  </r>
  <r>
    <n v="1007"/>
    <s v="2024-09-16"/>
    <s v="Amit"/>
    <x v="2"/>
    <x v="4"/>
    <x v="1"/>
    <n v="3"/>
    <n v="4500"/>
    <n v="13500"/>
    <s v="Cash"/>
  </r>
  <r>
    <n v="1034"/>
    <s v="2024-12-08"/>
    <s v="Pooja"/>
    <x v="1"/>
    <x v="4"/>
    <x v="1"/>
    <n v="3"/>
    <n v="4500"/>
    <n v="13500"/>
    <s v="UPI"/>
  </r>
  <r>
    <n v="1086"/>
    <s v="2024-02-14"/>
    <s v="Kiran"/>
    <x v="3"/>
    <x v="4"/>
    <x v="1"/>
    <n v="3"/>
    <n v="4500"/>
    <n v="13500"/>
    <s v="Net Banking"/>
  </r>
  <r>
    <n v="1088"/>
    <s v="2024-07-24"/>
    <s v="Anjali"/>
    <x v="2"/>
    <x v="4"/>
    <x v="1"/>
    <n v="3"/>
    <n v="4500"/>
    <n v="13500"/>
    <s v="Card"/>
  </r>
  <r>
    <n v="1103"/>
    <s v="2024-03-02"/>
    <s v="Amit"/>
    <x v="3"/>
    <x v="4"/>
    <x v="1"/>
    <n v="3"/>
    <n v="4500"/>
    <n v="13500"/>
    <s v="Net Banking"/>
  </r>
  <r>
    <n v="1145"/>
    <s v="2024-04-23"/>
    <s v="Suresh"/>
    <x v="2"/>
    <x v="4"/>
    <x v="1"/>
    <n v="3"/>
    <n v="4500"/>
    <n v="13500"/>
    <s v="Card"/>
  </r>
  <r>
    <n v="1162"/>
    <s v="2024-12-05"/>
    <s v="Priya"/>
    <x v="1"/>
    <x v="4"/>
    <x v="1"/>
    <n v="3"/>
    <n v="4500"/>
    <n v="13500"/>
    <s v="UPI"/>
  </r>
  <r>
    <n v="1236"/>
    <s v="2024-12-22"/>
    <s v="Kiran"/>
    <x v="0"/>
    <x v="4"/>
    <x v="1"/>
    <n v="3"/>
    <n v="4500"/>
    <n v="13500"/>
    <s v="UPI"/>
  </r>
  <r>
    <n v="1404"/>
    <s v="2024-12-25"/>
    <s v="Amit"/>
    <x v="1"/>
    <x v="4"/>
    <x v="1"/>
    <n v="3"/>
    <n v="4500"/>
    <n v="13500"/>
    <s v="Cash"/>
  </r>
  <r>
    <n v="1411"/>
    <s v="2024-12-25"/>
    <s v="Amit"/>
    <x v="1"/>
    <x v="4"/>
    <x v="1"/>
    <n v="3"/>
    <n v="4500"/>
    <n v="13500"/>
    <s v="UPI"/>
  </r>
  <r>
    <n v="1422"/>
    <s v="2024-09-04"/>
    <s v="Suresh"/>
    <x v="1"/>
    <x v="4"/>
    <x v="1"/>
    <n v="3"/>
    <n v="4500"/>
    <n v="13500"/>
    <s v="UPI"/>
  </r>
  <r>
    <n v="1485"/>
    <s v="2024-01-30"/>
    <s v="Pooja"/>
    <x v="0"/>
    <x v="4"/>
    <x v="1"/>
    <n v="3"/>
    <n v="4500"/>
    <n v="13500"/>
    <s v="Card"/>
  </r>
  <r>
    <n v="1495"/>
    <s v="2024-01-11"/>
    <s v="Suresh"/>
    <x v="1"/>
    <x v="4"/>
    <x v="1"/>
    <n v="3"/>
    <n v="4500"/>
    <n v="13500"/>
    <s v="Net Banking"/>
  </r>
  <r>
    <n v="1029"/>
    <s v="2024-04-10"/>
    <s v="Pooja"/>
    <x v="3"/>
    <x v="5"/>
    <x v="2"/>
    <n v="5"/>
    <n v="2000"/>
    <n v="10000"/>
    <s v="Card"/>
  </r>
  <r>
    <n v="1064"/>
    <s v="2024-11-05"/>
    <s v="Suresh"/>
    <x v="0"/>
    <x v="5"/>
    <x v="2"/>
    <n v="5"/>
    <n v="2000"/>
    <n v="10000"/>
    <s v="UPI"/>
  </r>
  <r>
    <n v="1068"/>
    <s v="2024-01-05"/>
    <s v="Ravi"/>
    <x v="2"/>
    <x v="5"/>
    <x v="2"/>
    <n v="5"/>
    <n v="2000"/>
    <n v="10000"/>
    <s v="UPI"/>
  </r>
  <r>
    <n v="1071"/>
    <s v="2024-05-23"/>
    <s v="Ravi"/>
    <x v="3"/>
    <x v="5"/>
    <x v="2"/>
    <n v="5"/>
    <n v="2000"/>
    <n v="10000"/>
    <s v="Net Banking"/>
  </r>
  <r>
    <n v="1122"/>
    <s v="2024-02-16"/>
    <s v="Ravi"/>
    <x v="0"/>
    <x v="5"/>
    <x v="2"/>
    <n v="5"/>
    <n v="2000"/>
    <n v="10000"/>
    <s v="Net Banking"/>
  </r>
  <r>
    <n v="1150"/>
    <s v="2024-05-17"/>
    <s v="Anjali"/>
    <x v="1"/>
    <x v="5"/>
    <x v="2"/>
    <n v="5"/>
    <n v="2000"/>
    <n v="10000"/>
    <s v="Net Banking"/>
  </r>
  <r>
    <n v="1166"/>
    <s v="2024-06-12"/>
    <s v="Suresh"/>
    <x v="1"/>
    <x v="5"/>
    <x v="2"/>
    <n v="5"/>
    <n v="2000"/>
    <n v="10000"/>
    <s v="Net Banking"/>
  </r>
  <r>
    <n v="1320"/>
    <s v="2024-12-28"/>
    <s v="Anjali"/>
    <x v="3"/>
    <x v="5"/>
    <x v="2"/>
    <n v="5"/>
    <n v="2000"/>
    <n v="10000"/>
    <s v="Net Banking"/>
  </r>
  <r>
    <n v="1322"/>
    <s v="2024-02-21"/>
    <s v="Neha"/>
    <x v="1"/>
    <x v="5"/>
    <x v="2"/>
    <n v="5"/>
    <n v="2000"/>
    <n v="10000"/>
    <s v="Card"/>
  </r>
  <r>
    <n v="1415"/>
    <s v="2024-03-26"/>
    <s v="Priya"/>
    <x v="1"/>
    <x v="5"/>
    <x v="2"/>
    <n v="5"/>
    <n v="2000"/>
    <n v="10000"/>
    <s v="Cash"/>
  </r>
  <r>
    <n v="1444"/>
    <s v="2024-05-30"/>
    <s v="Amit"/>
    <x v="0"/>
    <x v="5"/>
    <x v="2"/>
    <n v="5"/>
    <n v="2000"/>
    <n v="10000"/>
    <s v="Net Banking"/>
  </r>
  <r>
    <n v="1445"/>
    <s v="2024-04-17"/>
    <s v="Anjali"/>
    <x v="3"/>
    <x v="5"/>
    <x v="2"/>
    <n v="5"/>
    <n v="2000"/>
    <n v="10000"/>
    <s v="Net Banking"/>
  </r>
  <r>
    <n v="1470"/>
    <s v="2024-03-22"/>
    <s v="Amit"/>
    <x v="2"/>
    <x v="5"/>
    <x v="2"/>
    <n v="5"/>
    <n v="2000"/>
    <n v="10000"/>
    <s v="Card"/>
  </r>
  <r>
    <n v="1017"/>
    <s v="2024-05-12"/>
    <s v="Priya"/>
    <x v="3"/>
    <x v="4"/>
    <x v="1"/>
    <n v="2"/>
    <n v="4500"/>
    <n v="9000"/>
    <s v="UPI"/>
  </r>
  <r>
    <n v="1047"/>
    <s v="2024-09-20"/>
    <s v="Anjali"/>
    <x v="1"/>
    <x v="4"/>
    <x v="1"/>
    <n v="2"/>
    <n v="4500"/>
    <n v="9000"/>
    <s v="Net Banking"/>
  </r>
  <r>
    <n v="1091"/>
    <s v="2024-08-06"/>
    <s v="Vikas"/>
    <x v="3"/>
    <x v="4"/>
    <x v="1"/>
    <n v="2"/>
    <n v="4500"/>
    <n v="9000"/>
    <s v="Cash"/>
  </r>
  <r>
    <n v="1117"/>
    <s v="2024-06-04"/>
    <s v="Kiran"/>
    <x v="3"/>
    <x v="4"/>
    <x v="1"/>
    <n v="2"/>
    <n v="4500"/>
    <n v="9000"/>
    <s v="Card"/>
  </r>
  <r>
    <n v="1183"/>
    <s v="2024-01-06"/>
    <s v="Kiran"/>
    <x v="2"/>
    <x v="4"/>
    <x v="1"/>
    <n v="2"/>
    <n v="4500"/>
    <n v="9000"/>
    <s v="Net Banking"/>
  </r>
  <r>
    <n v="1185"/>
    <s v="2024-07-18"/>
    <s v="Ravi"/>
    <x v="3"/>
    <x v="4"/>
    <x v="1"/>
    <n v="2"/>
    <n v="4500"/>
    <n v="9000"/>
    <s v="Net Banking"/>
  </r>
  <r>
    <n v="1263"/>
    <s v="2024-07-17"/>
    <s v="Ravi"/>
    <x v="3"/>
    <x v="4"/>
    <x v="1"/>
    <n v="2"/>
    <n v="4500"/>
    <n v="9000"/>
    <s v="UPI"/>
  </r>
  <r>
    <n v="1349"/>
    <s v="2024-08-18"/>
    <s v="Suresh"/>
    <x v="3"/>
    <x v="4"/>
    <x v="1"/>
    <n v="2"/>
    <n v="4500"/>
    <n v="9000"/>
    <s v="Card"/>
  </r>
  <r>
    <n v="1367"/>
    <s v="2024-01-22"/>
    <s v="Ravi"/>
    <x v="0"/>
    <x v="4"/>
    <x v="1"/>
    <n v="2"/>
    <n v="4500"/>
    <n v="9000"/>
    <s v="Card"/>
  </r>
  <r>
    <n v="1392"/>
    <s v="2024-04-07"/>
    <s v="Ravi"/>
    <x v="3"/>
    <x v="4"/>
    <x v="1"/>
    <n v="2"/>
    <n v="4500"/>
    <n v="9000"/>
    <s v="UPI"/>
  </r>
  <r>
    <n v="1439"/>
    <s v="2024-12-28"/>
    <s v="Anjali"/>
    <x v="2"/>
    <x v="4"/>
    <x v="1"/>
    <n v="2"/>
    <n v="4500"/>
    <n v="9000"/>
    <s v="Card"/>
  </r>
  <r>
    <n v="1475"/>
    <s v="2024-01-30"/>
    <s v="Ravi"/>
    <x v="1"/>
    <x v="4"/>
    <x v="1"/>
    <n v="2"/>
    <n v="4500"/>
    <n v="9000"/>
    <s v="Card"/>
  </r>
  <r>
    <n v="1009"/>
    <s v="2024-01-18"/>
    <s v="Pooja"/>
    <x v="3"/>
    <x v="3"/>
    <x v="1"/>
    <n v="1"/>
    <n v="8000"/>
    <n v="8000"/>
    <s v="Card"/>
  </r>
  <r>
    <n v="1016"/>
    <s v="2024-02-18"/>
    <s v="Neha"/>
    <x v="0"/>
    <x v="5"/>
    <x v="2"/>
    <n v="4"/>
    <n v="2000"/>
    <n v="8000"/>
    <s v="Cash"/>
  </r>
  <r>
    <n v="1019"/>
    <s v="2024-06-11"/>
    <s v="Vikas"/>
    <x v="3"/>
    <x v="3"/>
    <x v="1"/>
    <n v="1"/>
    <n v="8000"/>
    <n v="8000"/>
    <s v="Cash"/>
  </r>
  <r>
    <n v="1036"/>
    <s v="2024-10-01"/>
    <s v="Neha"/>
    <x v="3"/>
    <x v="5"/>
    <x v="2"/>
    <n v="4"/>
    <n v="2000"/>
    <n v="8000"/>
    <s v="Net Banking"/>
  </r>
  <r>
    <n v="1081"/>
    <s v="2024-07-27"/>
    <s v="Rahul"/>
    <x v="3"/>
    <x v="5"/>
    <x v="2"/>
    <n v="4"/>
    <n v="2000"/>
    <n v="8000"/>
    <s v="UPI"/>
  </r>
  <r>
    <n v="1085"/>
    <s v="2024-01-16"/>
    <s v="Ravi"/>
    <x v="1"/>
    <x v="3"/>
    <x v="1"/>
    <n v="1"/>
    <n v="8000"/>
    <n v="8000"/>
    <s v="Card"/>
  </r>
  <r>
    <n v="1193"/>
    <s v="2024-04-06"/>
    <s v="Ravi"/>
    <x v="0"/>
    <x v="5"/>
    <x v="2"/>
    <n v="4"/>
    <n v="2000"/>
    <n v="8000"/>
    <s v="Card"/>
  </r>
  <r>
    <n v="1211"/>
    <s v="2024-06-14"/>
    <s v="Priya"/>
    <x v="0"/>
    <x v="5"/>
    <x v="2"/>
    <n v="4"/>
    <n v="2000"/>
    <n v="8000"/>
    <s v="UPI"/>
  </r>
  <r>
    <n v="1215"/>
    <s v="2024-11-26"/>
    <s v="Ravi"/>
    <x v="3"/>
    <x v="5"/>
    <x v="2"/>
    <n v="4"/>
    <n v="2000"/>
    <n v="8000"/>
    <s v="Net Banking"/>
  </r>
  <r>
    <n v="1245"/>
    <s v="2024-03-03"/>
    <s v="Ravi"/>
    <x v="1"/>
    <x v="5"/>
    <x v="2"/>
    <n v="4"/>
    <n v="2000"/>
    <n v="8000"/>
    <s v="Cash"/>
  </r>
  <r>
    <n v="1259"/>
    <s v="2024-06-08"/>
    <s v="Kiran"/>
    <x v="2"/>
    <x v="3"/>
    <x v="1"/>
    <n v="1"/>
    <n v="8000"/>
    <n v="8000"/>
    <s v="Net Banking"/>
  </r>
  <r>
    <n v="1274"/>
    <s v="2024-02-28"/>
    <s v="Vikas"/>
    <x v="3"/>
    <x v="3"/>
    <x v="1"/>
    <n v="1"/>
    <n v="8000"/>
    <n v="8000"/>
    <s v="Card"/>
  </r>
  <r>
    <n v="1286"/>
    <s v="2024-08-06"/>
    <s v="Rahul"/>
    <x v="2"/>
    <x v="3"/>
    <x v="1"/>
    <n v="1"/>
    <n v="8000"/>
    <n v="8000"/>
    <s v="Card"/>
  </r>
  <r>
    <n v="1312"/>
    <s v="2024-02-16"/>
    <s v="Amit"/>
    <x v="1"/>
    <x v="3"/>
    <x v="1"/>
    <n v="1"/>
    <n v="8000"/>
    <n v="8000"/>
    <s v="UPI"/>
  </r>
  <r>
    <n v="1316"/>
    <s v="2024-09-16"/>
    <s v="Rahul"/>
    <x v="3"/>
    <x v="3"/>
    <x v="1"/>
    <n v="1"/>
    <n v="8000"/>
    <n v="8000"/>
    <s v="Net Banking"/>
  </r>
  <r>
    <n v="1368"/>
    <s v="2024-04-19"/>
    <s v="Vikas"/>
    <x v="0"/>
    <x v="3"/>
    <x v="1"/>
    <n v="1"/>
    <n v="8000"/>
    <n v="8000"/>
    <s v="Card"/>
  </r>
  <r>
    <n v="1371"/>
    <s v="2024-10-13"/>
    <s v="Pooja"/>
    <x v="0"/>
    <x v="3"/>
    <x v="1"/>
    <n v="1"/>
    <n v="8000"/>
    <n v="8000"/>
    <s v="Cash"/>
  </r>
  <r>
    <n v="1384"/>
    <s v="2024-05-22"/>
    <s v="Anjali"/>
    <x v="1"/>
    <x v="3"/>
    <x v="1"/>
    <n v="1"/>
    <n v="8000"/>
    <n v="8000"/>
    <s v="Card"/>
  </r>
  <r>
    <n v="1410"/>
    <s v="2024-07-07"/>
    <s v="Kiran"/>
    <x v="2"/>
    <x v="5"/>
    <x v="2"/>
    <n v="4"/>
    <n v="2000"/>
    <n v="8000"/>
    <s v="Card"/>
  </r>
  <r>
    <n v="1413"/>
    <s v="2024-01-01"/>
    <s v="Kiran"/>
    <x v="0"/>
    <x v="5"/>
    <x v="2"/>
    <n v="4"/>
    <n v="2000"/>
    <n v="8000"/>
    <s v="Cash"/>
  </r>
  <r>
    <n v="1424"/>
    <s v="2024-07-16"/>
    <s v="Pooja"/>
    <x v="2"/>
    <x v="5"/>
    <x v="2"/>
    <n v="4"/>
    <n v="2000"/>
    <n v="8000"/>
    <s v="Card"/>
  </r>
  <r>
    <n v="1447"/>
    <s v="2024-01-23"/>
    <s v="Amit"/>
    <x v="1"/>
    <x v="3"/>
    <x v="1"/>
    <n v="1"/>
    <n v="8000"/>
    <n v="8000"/>
    <s v="Net Banking"/>
  </r>
  <r>
    <n v="1028"/>
    <s v="2024-10-05"/>
    <s v="Ravi"/>
    <x v="2"/>
    <x v="5"/>
    <x v="2"/>
    <n v="3"/>
    <n v="2000"/>
    <n v="6000"/>
    <s v="Net Banking"/>
  </r>
  <r>
    <n v="1174"/>
    <s v="2024-03-02"/>
    <s v="Pooja"/>
    <x v="3"/>
    <x v="5"/>
    <x v="2"/>
    <n v="3"/>
    <n v="2000"/>
    <n v="6000"/>
    <s v="Net Banking"/>
  </r>
  <r>
    <n v="1248"/>
    <s v="2024-12-07"/>
    <s v="Neha"/>
    <x v="0"/>
    <x v="5"/>
    <x v="2"/>
    <n v="3"/>
    <n v="2000"/>
    <n v="6000"/>
    <s v="Cash"/>
  </r>
  <r>
    <n v="1294"/>
    <s v="2024-06-11"/>
    <s v="Rahul"/>
    <x v="0"/>
    <x v="5"/>
    <x v="2"/>
    <n v="3"/>
    <n v="2000"/>
    <n v="6000"/>
    <s v="Cash"/>
  </r>
  <r>
    <n v="1318"/>
    <s v="2024-10-21"/>
    <s v="Vikas"/>
    <x v="0"/>
    <x v="5"/>
    <x v="2"/>
    <n v="3"/>
    <n v="2000"/>
    <n v="6000"/>
    <s v="Card"/>
  </r>
  <r>
    <n v="1378"/>
    <s v="2024-07-31"/>
    <s v="Anjali"/>
    <x v="3"/>
    <x v="5"/>
    <x v="2"/>
    <n v="3"/>
    <n v="2000"/>
    <n v="6000"/>
    <s v="Card"/>
  </r>
  <r>
    <n v="1450"/>
    <s v="2024-08-25"/>
    <s v="Neha"/>
    <x v="3"/>
    <x v="5"/>
    <x v="2"/>
    <n v="3"/>
    <n v="2000"/>
    <n v="6000"/>
    <s v="UPI"/>
  </r>
  <r>
    <n v="1457"/>
    <s v="2024-10-09"/>
    <s v="Pooja"/>
    <x v="0"/>
    <x v="5"/>
    <x v="2"/>
    <n v="3"/>
    <n v="2000"/>
    <n v="6000"/>
    <s v="Cash"/>
  </r>
  <r>
    <n v="1466"/>
    <s v="2024-02-02"/>
    <s v="Anjali"/>
    <x v="3"/>
    <x v="5"/>
    <x v="2"/>
    <n v="3"/>
    <n v="2000"/>
    <n v="6000"/>
    <s v="UPI"/>
  </r>
  <r>
    <n v="1488"/>
    <s v="2024-09-15"/>
    <s v="Neha"/>
    <x v="3"/>
    <x v="5"/>
    <x v="2"/>
    <n v="3"/>
    <n v="2000"/>
    <n v="6000"/>
    <s v="Card"/>
  </r>
  <r>
    <n v="1498"/>
    <s v="2024-08-15"/>
    <s v="Vikas"/>
    <x v="3"/>
    <x v="5"/>
    <x v="2"/>
    <n v="3"/>
    <n v="2000"/>
    <n v="6000"/>
    <s v="Card"/>
  </r>
  <r>
    <n v="1008"/>
    <s v="2024-03-04"/>
    <s v="Neha"/>
    <x v="1"/>
    <x v="4"/>
    <x v="1"/>
    <n v="1"/>
    <n v="4500"/>
    <n v="4500"/>
    <s v="Cash"/>
  </r>
  <r>
    <n v="1076"/>
    <s v="2024-05-10"/>
    <s v="Rahul"/>
    <x v="2"/>
    <x v="4"/>
    <x v="1"/>
    <n v="1"/>
    <n v="4500"/>
    <n v="4500"/>
    <s v="Net Banking"/>
  </r>
  <r>
    <n v="1082"/>
    <s v="2024-01-30"/>
    <s v="Priya"/>
    <x v="0"/>
    <x v="4"/>
    <x v="1"/>
    <n v="1"/>
    <n v="4500"/>
    <n v="4500"/>
    <s v="Card"/>
  </r>
  <r>
    <n v="1107"/>
    <s v="2024-01-08"/>
    <s v="Kiran"/>
    <x v="2"/>
    <x v="4"/>
    <x v="1"/>
    <n v="1"/>
    <n v="4500"/>
    <n v="4500"/>
    <s v="Net Banking"/>
  </r>
  <r>
    <n v="1229"/>
    <s v="2024-07-19"/>
    <s v="Rahul"/>
    <x v="1"/>
    <x v="4"/>
    <x v="1"/>
    <n v="1"/>
    <n v="4500"/>
    <n v="4500"/>
    <s v="Card"/>
  </r>
  <r>
    <n v="1292"/>
    <s v="2024-03-23"/>
    <s v="Anjali"/>
    <x v="1"/>
    <x v="4"/>
    <x v="1"/>
    <n v="1"/>
    <n v="4500"/>
    <n v="4500"/>
    <s v="Card"/>
  </r>
  <r>
    <n v="1330"/>
    <s v="2024-03-09"/>
    <s v="Kiran"/>
    <x v="2"/>
    <x v="4"/>
    <x v="1"/>
    <n v="1"/>
    <n v="4500"/>
    <n v="4500"/>
    <s v="Cash"/>
  </r>
  <r>
    <n v="1360"/>
    <s v="2024-03-01"/>
    <s v="Rahul"/>
    <x v="2"/>
    <x v="4"/>
    <x v="1"/>
    <n v="1"/>
    <n v="4500"/>
    <n v="4500"/>
    <s v="UPI"/>
  </r>
  <r>
    <n v="1022"/>
    <s v="2024-02-20"/>
    <s v="Suresh"/>
    <x v="0"/>
    <x v="5"/>
    <x v="2"/>
    <n v="2"/>
    <n v="2000"/>
    <n v="4000"/>
    <s v="Net Banking"/>
  </r>
  <r>
    <n v="1155"/>
    <s v="2024-10-09"/>
    <s v="Rahul"/>
    <x v="3"/>
    <x v="5"/>
    <x v="2"/>
    <n v="2"/>
    <n v="2000"/>
    <n v="4000"/>
    <s v="Net Banking"/>
  </r>
  <r>
    <n v="1194"/>
    <s v="2024-04-10"/>
    <s v="Rahul"/>
    <x v="1"/>
    <x v="5"/>
    <x v="2"/>
    <n v="2"/>
    <n v="2000"/>
    <n v="4000"/>
    <s v="Net Banking"/>
  </r>
  <r>
    <n v="1220"/>
    <s v="2024-09-01"/>
    <s v="Vikas"/>
    <x v="2"/>
    <x v="5"/>
    <x v="2"/>
    <n v="2"/>
    <n v="2000"/>
    <n v="4000"/>
    <s v="Card"/>
  </r>
  <r>
    <n v="1246"/>
    <s v="2024-03-05"/>
    <s v="Vikas"/>
    <x v="3"/>
    <x v="5"/>
    <x v="2"/>
    <n v="2"/>
    <n v="2000"/>
    <n v="4000"/>
    <s v="UPI"/>
  </r>
  <r>
    <n v="1249"/>
    <s v="2024-01-16"/>
    <s v="Vikas"/>
    <x v="1"/>
    <x v="5"/>
    <x v="2"/>
    <n v="2"/>
    <n v="2000"/>
    <n v="4000"/>
    <s v="Cash"/>
  </r>
  <r>
    <n v="1252"/>
    <s v="2024-12-28"/>
    <s v="Kiran"/>
    <x v="3"/>
    <x v="5"/>
    <x v="2"/>
    <n v="2"/>
    <n v="2000"/>
    <n v="4000"/>
    <s v="UPI"/>
  </r>
  <r>
    <n v="1269"/>
    <s v="2024-03-09"/>
    <s v="Ravi"/>
    <x v="1"/>
    <x v="5"/>
    <x v="2"/>
    <n v="2"/>
    <n v="2000"/>
    <n v="4000"/>
    <s v="UPI"/>
  </r>
  <r>
    <n v="1297"/>
    <s v="2024-04-07"/>
    <s v="Rahul"/>
    <x v="0"/>
    <x v="5"/>
    <x v="2"/>
    <n v="2"/>
    <n v="2000"/>
    <n v="4000"/>
    <s v="Card"/>
  </r>
  <r>
    <n v="1329"/>
    <s v="2024-11-29"/>
    <s v="Vikas"/>
    <x v="3"/>
    <x v="5"/>
    <x v="2"/>
    <n v="2"/>
    <n v="2000"/>
    <n v="4000"/>
    <s v="Cash"/>
  </r>
  <r>
    <n v="1400"/>
    <s v="2024-09-05"/>
    <s v="Priya"/>
    <x v="1"/>
    <x v="5"/>
    <x v="2"/>
    <n v="2"/>
    <n v="2000"/>
    <n v="4000"/>
    <s v="Net Banking"/>
  </r>
  <r>
    <n v="1402"/>
    <s v="2024-04-27"/>
    <s v="Priya"/>
    <x v="2"/>
    <x v="5"/>
    <x v="2"/>
    <n v="2"/>
    <n v="2000"/>
    <n v="4000"/>
    <s v="Card"/>
  </r>
  <r>
    <n v="1058"/>
    <s v="2024-02-21"/>
    <s v="Amit"/>
    <x v="1"/>
    <x v="5"/>
    <x v="2"/>
    <n v="1"/>
    <n v="2000"/>
    <n v="2000"/>
    <s v="UPI"/>
  </r>
  <r>
    <n v="1059"/>
    <s v="2024-07-05"/>
    <s v="Anjali"/>
    <x v="1"/>
    <x v="5"/>
    <x v="2"/>
    <n v="1"/>
    <n v="2000"/>
    <n v="2000"/>
    <s v="Cash"/>
  </r>
  <r>
    <n v="1092"/>
    <s v="2024-02-28"/>
    <s v="Pooja"/>
    <x v="1"/>
    <x v="5"/>
    <x v="2"/>
    <n v="1"/>
    <n v="2000"/>
    <n v="2000"/>
    <s v="UPI"/>
  </r>
  <r>
    <n v="1148"/>
    <s v="2024-07-18"/>
    <s v="Vikas"/>
    <x v="1"/>
    <x v="5"/>
    <x v="2"/>
    <n v="1"/>
    <n v="2000"/>
    <n v="2000"/>
    <s v="UPI"/>
  </r>
  <r>
    <n v="1191"/>
    <s v="2024-02-12"/>
    <s v="Neha"/>
    <x v="3"/>
    <x v="5"/>
    <x v="2"/>
    <n v="1"/>
    <n v="2000"/>
    <n v="2000"/>
    <s v="Cash"/>
  </r>
  <r>
    <n v="1208"/>
    <s v="2024-05-27"/>
    <s v="Neha"/>
    <x v="0"/>
    <x v="5"/>
    <x v="2"/>
    <n v="1"/>
    <n v="2000"/>
    <n v="2000"/>
    <s v="Card"/>
  </r>
  <r>
    <n v="1225"/>
    <s v="2024-07-04"/>
    <s v="Amit"/>
    <x v="0"/>
    <x v="5"/>
    <x v="2"/>
    <n v="1"/>
    <n v="2000"/>
    <n v="2000"/>
    <s v="UPI"/>
  </r>
  <r>
    <n v="1247"/>
    <s v="2024-05-29"/>
    <s v="Ravi"/>
    <x v="2"/>
    <x v="5"/>
    <x v="2"/>
    <n v="1"/>
    <n v="2000"/>
    <n v="2000"/>
    <s v="Net Banking"/>
  </r>
  <r>
    <n v="1299"/>
    <s v="2024-07-27"/>
    <s v="Kiran"/>
    <x v="2"/>
    <x v="5"/>
    <x v="2"/>
    <n v="1"/>
    <n v="2000"/>
    <n v="2000"/>
    <s v="Cash"/>
  </r>
  <r>
    <n v="1362"/>
    <s v="2024-12-29"/>
    <s v="Ravi"/>
    <x v="3"/>
    <x v="5"/>
    <x v="2"/>
    <n v="1"/>
    <n v="2000"/>
    <n v="2000"/>
    <s v="UPI"/>
  </r>
  <r>
    <n v="1389"/>
    <s v="2024-02-18"/>
    <s v="Anjali"/>
    <x v="2"/>
    <x v="5"/>
    <x v="2"/>
    <n v="1"/>
    <n v="2000"/>
    <n v="2000"/>
    <s v="Card"/>
  </r>
  <r>
    <n v="1412"/>
    <s v="2024-03-02"/>
    <s v="Neha"/>
    <x v="0"/>
    <x v="5"/>
    <x v="2"/>
    <n v="1"/>
    <n v="2000"/>
    <n v="2000"/>
    <s v="Card"/>
  </r>
  <r>
    <n v="1011"/>
    <s v="2024-11-27"/>
    <s v="Vikas"/>
    <x v="0"/>
    <x v="6"/>
    <x v="3"/>
    <n v="5"/>
    <n v="150"/>
    <n v="750"/>
    <s v="Net Banking"/>
  </r>
  <r>
    <n v="1048"/>
    <s v="2024-03-21"/>
    <s v="Pooja"/>
    <x v="3"/>
    <x v="6"/>
    <x v="3"/>
    <n v="5"/>
    <n v="150"/>
    <n v="750"/>
    <s v="Cash"/>
  </r>
  <r>
    <n v="1067"/>
    <s v="2024-03-18"/>
    <s v="Kiran"/>
    <x v="0"/>
    <x v="6"/>
    <x v="3"/>
    <n v="5"/>
    <n v="150"/>
    <n v="750"/>
    <s v="UPI"/>
  </r>
  <r>
    <n v="1083"/>
    <s v="2024-02-15"/>
    <s v="Vikas"/>
    <x v="1"/>
    <x v="6"/>
    <x v="3"/>
    <n v="5"/>
    <n v="150"/>
    <n v="750"/>
    <s v="Card"/>
  </r>
  <r>
    <n v="1097"/>
    <s v="2024-05-26"/>
    <s v="Pooja"/>
    <x v="2"/>
    <x v="6"/>
    <x v="3"/>
    <n v="5"/>
    <n v="150"/>
    <n v="750"/>
    <s v="Net Banking"/>
  </r>
  <r>
    <n v="1105"/>
    <s v="2024-03-17"/>
    <s v="Kiran"/>
    <x v="0"/>
    <x v="6"/>
    <x v="3"/>
    <n v="5"/>
    <n v="150"/>
    <n v="750"/>
    <s v="Cash"/>
  </r>
  <r>
    <n v="1232"/>
    <s v="2024-01-19"/>
    <s v="Pooja"/>
    <x v="1"/>
    <x v="6"/>
    <x v="3"/>
    <n v="5"/>
    <n v="150"/>
    <n v="750"/>
    <s v="UPI"/>
  </r>
  <r>
    <n v="1333"/>
    <s v="2024-10-10"/>
    <s v="Priya"/>
    <x v="3"/>
    <x v="6"/>
    <x v="3"/>
    <n v="5"/>
    <n v="150"/>
    <n v="750"/>
    <s v="UPI"/>
  </r>
  <r>
    <n v="1341"/>
    <s v="2024-08-21"/>
    <s v="Amit"/>
    <x v="0"/>
    <x v="6"/>
    <x v="3"/>
    <n v="5"/>
    <n v="150"/>
    <n v="750"/>
    <s v="Net Banking"/>
  </r>
  <r>
    <n v="1363"/>
    <s v="2024-12-18"/>
    <s v="Suresh"/>
    <x v="3"/>
    <x v="6"/>
    <x v="3"/>
    <n v="5"/>
    <n v="150"/>
    <n v="750"/>
    <s v="Card"/>
  </r>
  <r>
    <n v="1494"/>
    <s v="2024-07-18"/>
    <s v="Ravi"/>
    <x v="3"/>
    <x v="6"/>
    <x v="3"/>
    <n v="5"/>
    <n v="150"/>
    <n v="750"/>
    <s v="UPI"/>
  </r>
  <r>
    <n v="1500"/>
    <s v="2024-07-02"/>
    <s v="Pooja"/>
    <x v="0"/>
    <x v="6"/>
    <x v="3"/>
    <n v="5"/>
    <n v="150"/>
    <n v="750"/>
    <s v="Card"/>
  </r>
  <r>
    <n v="1038"/>
    <s v="2024-11-19"/>
    <s v="Pooja"/>
    <x v="0"/>
    <x v="6"/>
    <x v="3"/>
    <n v="4"/>
    <n v="150"/>
    <n v="600"/>
    <s v="Net Banking"/>
  </r>
  <r>
    <n v="1053"/>
    <s v="2024-07-26"/>
    <s v="Anjali"/>
    <x v="0"/>
    <x v="6"/>
    <x v="3"/>
    <n v="4"/>
    <n v="150"/>
    <n v="600"/>
    <s v="Net Banking"/>
  </r>
  <r>
    <n v="1063"/>
    <s v="2024-09-24"/>
    <s v="Kiran"/>
    <x v="1"/>
    <x v="6"/>
    <x v="3"/>
    <n v="4"/>
    <n v="150"/>
    <n v="600"/>
    <s v="Cash"/>
  </r>
  <r>
    <n v="1112"/>
    <s v="2024-12-26"/>
    <s v="Suresh"/>
    <x v="1"/>
    <x v="6"/>
    <x v="3"/>
    <n v="4"/>
    <n v="150"/>
    <n v="600"/>
    <s v="Card"/>
  </r>
  <r>
    <n v="1143"/>
    <s v="2024-12-11"/>
    <s v="Anjali"/>
    <x v="3"/>
    <x v="6"/>
    <x v="3"/>
    <n v="4"/>
    <n v="150"/>
    <n v="600"/>
    <s v="Cash"/>
  </r>
  <r>
    <n v="1171"/>
    <s v="2024-03-16"/>
    <s v="Suresh"/>
    <x v="1"/>
    <x v="6"/>
    <x v="3"/>
    <n v="4"/>
    <n v="150"/>
    <n v="600"/>
    <s v="Net Banking"/>
  </r>
  <r>
    <n v="1212"/>
    <s v="2024-02-20"/>
    <s v="Ravi"/>
    <x v="3"/>
    <x v="6"/>
    <x v="3"/>
    <n v="4"/>
    <n v="150"/>
    <n v="600"/>
    <s v="UPI"/>
  </r>
  <r>
    <n v="1239"/>
    <s v="2024-09-30"/>
    <s v="Priya"/>
    <x v="0"/>
    <x v="6"/>
    <x v="3"/>
    <n v="4"/>
    <n v="150"/>
    <n v="600"/>
    <s v="Net Banking"/>
  </r>
  <r>
    <n v="1304"/>
    <s v="2024-09-01"/>
    <s v="Ravi"/>
    <x v="3"/>
    <x v="6"/>
    <x v="3"/>
    <n v="4"/>
    <n v="150"/>
    <n v="600"/>
    <s v="UPI"/>
  </r>
  <r>
    <n v="1458"/>
    <s v="2024-09-29"/>
    <s v="Priya"/>
    <x v="0"/>
    <x v="6"/>
    <x v="3"/>
    <n v="4"/>
    <n v="150"/>
    <n v="600"/>
    <s v="UPI"/>
  </r>
  <r>
    <n v="1481"/>
    <s v="2024-09-14"/>
    <s v="Kiran"/>
    <x v="0"/>
    <x v="6"/>
    <x v="3"/>
    <n v="4"/>
    <n v="150"/>
    <n v="600"/>
    <s v="UPI"/>
  </r>
  <r>
    <n v="1035"/>
    <s v="2024-10-29"/>
    <s v="Pooja"/>
    <x v="3"/>
    <x v="6"/>
    <x v="3"/>
    <n v="3"/>
    <n v="150"/>
    <n v="450"/>
    <s v="UPI"/>
  </r>
  <r>
    <n v="1129"/>
    <s v="2024-02-16"/>
    <s v="Anjali"/>
    <x v="2"/>
    <x v="6"/>
    <x v="3"/>
    <n v="3"/>
    <n v="150"/>
    <n v="450"/>
    <s v="UPI"/>
  </r>
  <r>
    <n v="1147"/>
    <s v="2024-01-26"/>
    <s v="Kiran"/>
    <x v="3"/>
    <x v="6"/>
    <x v="3"/>
    <n v="3"/>
    <n v="150"/>
    <n v="450"/>
    <s v="Card"/>
  </r>
  <r>
    <n v="1175"/>
    <s v="2024-03-07"/>
    <s v="Neha"/>
    <x v="2"/>
    <x v="6"/>
    <x v="3"/>
    <n v="3"/>
    <n v="150"/>
    <n v="450"/>
    <s v="UPI"/>
  </r>
  <r>
    <n v="1254"/>
    <s v="2024-10-09"/>
    <s v="Rahul"/>
    <x v="1"/>
    <x v="6"/>
    <x v="3"/>
    <n v="3"/>
    <n v="150"/>
    <n v="450"/>
    <s v="Net Banking"/>
  </r>
  <r>
    <n v="1373"/>
    <s v="2024-09-15"/>
    <s v="Neha"/>
    <x v="0"/>
    <x v="6"/>
    <x v="3"/>
    <n v="3"/>
    <n v="150"/>
    <n v="450"/>
    <s v="UPI"/>
  </r>
  <r>
    <n v="1396"/>
    <s v="2024-10-01"/>
    <s v="Rahul"/>
    <x v="0"/>
    <x v="6"/>
    <x v="3"/>
    <n v="3"/>
    <n v="150"/>
    <n v="450"/>
    <s v="Net Banking"/>
  </r>
  <r>
    <n v="1433"/>
    <s v="2024-06-24"/>
    <s v="Rahul"/>
    <x v="3"/>
    <x v="6"/>
    <x v="3"/>
    <n v="3"/>
    <n v="150"/>
    <n v="450"/>
    <s v="Cash"/>
  </r>
  <r>
    <n v="1459"/>
    <s v="2024-04-29"/>
    <s v="Amit"/>
    <x v="1"/>
    <x v="6"/>
    <x v="3"/>
    <n v="3"/>
    <n v="150"/>
    <n v="450"/>
    <s v="Cash"/>
  </r>
  <r>
    <n v="1465"/>
    <s v="2024-05-14"/>
    <s v="Vikas"/>
    <x v="0"/>
    <x v="6"/>
    <x v="3"/>
    <n v="3"/>
    <n v="150"/>
    <n v="450"/>
    <s v="Net Banking"/>
  </r>
  <r>
    <n v="1468"/>
    <s v="2024-11-12"/>
    <s v="Amit"/>
    <x v="3"/>
    <x v="6"/>
    <x v="3"/>
    <n v="3"/>
    <n v="150"/>
    <n v="450"/>
    <s v="Card"/>
  </r>
  <r>
    <n v="1200"/>
    <s v="2024-08-09"/>
    <s v="Pooja"/>
    <x v="2"/>
    <x v="6"/>
    <x v="3"/>
    <n v="2"/>
    <n v="150"/>
    <n v="300"/>
    <s v="UPI"/>
  </r>
  <r>
    <n v="1216"/>
    <s v="2024-12-26"/>
    <s v="Suresh"/>
    <x v="2"/>
    <x v="6"/>
    <x v="3"/>
    <n v="2"/>
    <n v="150"/>
    <n v="300"/>
    <s v="Net Banking"/>
  </r>
  <r>
    <n v="1233"/>
    <s v="2024-07-22"/>
    <s v="Vikas"/>
    <x v="3"/>
    <x v="6"/>
    <x v="3"/>
    <n v="2"/>
    <n v="150"/>
    <n v="300"/>
    <s v="UPI"/>
  </r>
  <r>
    <n v="1261"/>
    <s v="2024-09-23"/>
    <s v="Rahul"/>
    <x v="1"/>
    <x v="6"/>
    <x v="3"/>
    <n v="2"/>
    <n v="150"/>
    <n v="300"/>
    <s v="Cash"/>
  </r>
  <r>
    <n v="1262"/>
    <s v="2024-11-25"/>
    <s v="Amit"/>
    <x v="1"/>
    <x v="6"/>
    <x v="3"/>
    <n v="2"/>
    <n v="150"/>
    <n v="300"/>
    <s v="Card"/>
  </r>
  <r>
    <n v="1291"/>
    <s v="2024-05-26"/>
    <s v="Vikas"/>
    <x v="1"/>
    <x v="6"/>
    <x v="3"/>
    <n v="2"/>
    <n v="150"/>
    <n v="300"/>
    <s v="Net Banking"/>
  </r>
  <r>
    <n v="1388"/>
    <s v="2024-01-02"/>
    <s v="Rahul"/>
    <x v="2"/>
    <x v="6"/>
    <x v="3"/>
    <n v="2"/>
    <n v="150"/>
    <n v="300"/>
    <s v="Net Banking"/>
  </r>
  <r>
    <n v="1416"/>
    <s v="2024-09-13"/>
    <s v="Vikas"/>
    <x v="3"/>
    <x v="6"/>
    <x v="3"/>
    <n v="2"/>
    <n v="150"/>
    <n v="300"/>
    <s v="UPI"/>
  </r>
  <r>
    <n v="1471"/>
    <s v="2024-05-06"/>
    <s v="Suresh"/>
    <x v="3"/>
    <x v="6"/>
    <x v="3"/>
    <n v="2"/>
    <n v="150"/>
    <n v="300"/>
    <s v="UPI"/>
  </r>
  <r>
    <n v="1062"/>
    <s v="2024-09-03"/>
    <s v="Neha"/>
    <x v="2"/>
    <x v="6"/>
    <x v="3"/>
    <n v="1"/>
    <n v="150"/>
    <n v="150"/>
    <s v="Cash"/>
  </r>
  <r>
    <n v="1151"/>
    <s v="2024-04-19"/>
    <s v="Pooja"/>
    <x v="2"/>
    <x v="6"/>
    <x v="3"/>
    <n v="1"/>
    <n v="150"/>
    <n v="150"/>
    <s v="UPI"/>
  </r>
  <r>
    <n v="1178"/>
    <s v="2024-11-18"/>
    <s v="Suresh"/>
    <x v="0"/>
    <x v="6"/>
    <x v="3"/>
    <n v="1"/>
    <n v="150"/>
    <n v="150"/>
    <s v="UPI"/>
  </r>
  <r>
    <n v="1242"/>
    <s v="2024-06-09"/>
    <s v="Ravi"/>
    <x v="1"/>
    <x v="6"/>
    <x v="3"/>
    <n v="1"/>
    <n v="150"/>
    <n v="150"/>
    <s v="UPI"/>
  </r>
  <r>
    <n v="1315"/>
    <s v="2024-02-12"/>
    <s v="Priya"/>
    <x v="3"/>
    <x v="6"/>
    <x v="3"/>
    <n v="1"/>
    <n v="150"/>
    <n v="150"/>
    <s v="Cash"/>
  </r>
  <r>
    <n v="1327"/>
    <s v="2024-11-27"/>
    <s v="Kiran"/>
    <x v="0"/>
    <x v="6"/>
    <x v="3"/>
    <n v="1"/>
    <n v="150"/>
    <n v="150"/>
    <s v="Card"/>
  </r>
  <r>
    <n v="1332"/>
    <s v="2024-04-22"/>
    <s v="Rahul"/>
    <x v="1"/>
    <x v="6"/>
    <x v="3"/>
    <n v="1"/>
    <n v="150"/>
    <n v="150"/>
    <s v="Net Banking"/>
  </r>
  <r>
    <n v="1351"/>
    <s v="2024-04-21"/>
    <s v="Neha"/>
    <x v="1"/>
    <x v="6"/>
    <x v="3"/>
    <n v="1"/>
    <n v="150"/>
    <n v="150"/>
    <s v="Cash"/>
  </r>
  <r>
    <n v="1399"/>
    <s v="2024-11-07"/>
    <s v="Pooja"/>
    <x v="3"/>
    <x v="6"/>
    <x v="3"/>
    <n v="1"/>
    <n v="150"/>
    <n v="150"/>
    <s v="Card"/>
  </r>
  <r>
    <n v="1474"/>
    <s v="2024-09-14"/>
    <s v="Neha"/>
    <x v="1"/>
    <x v="6"/>
    <x v="3"/>
    <n v="1"/>
    <n v="150"/>
    <n v="150"/>
    <s v="Net Banking"/>
  </r>
  <r>
    <n v="1492"/>
    <s v="2024-04-29"/>
    <s v="Neha"/>
    <x v="0"/>
    <x v="6"/>
    <x v="3"/>
    <n v="1"/>
    <n v="150"/>
    <n v="150"/>
    <s v="Net Banking"/>
  </r>
  <r>
    <n v="1026"/>
    <s v="2024-02-01"/>
    <s v="Rahul"/>
    <x v="2"/>
    <x v="7"/>
    <x v="3"/>
    <n v="5"/>
    <n v="20"/>
    <n v="100"/>
    <s v="Card"/>
  </r>
  <r>
    <n v="1031"/>
    <s v="2024-09-27"/>
    <s v="Priya"/>
    <x v="3"/>
    <x v="7"/>
    <x v="3"/>
    <n v="5"/>
    <n v="20"/>
    <n v="100"/>
    <s v="Cash"/>
  </r>
  <r>
    <n v="1161"/>
    <s v="2024-04-02"/>
    <s v="Pooja"/>
    <x v="3"/>
    <x v="7"/>
    <x v="3"/>
    <n v="5"/>
    <n v="20"/>
    <n v="100"/>
    <s v="Cash"/>
  </r>
  <r>
    <n v="1176"/>
    <s v="2024-09-19"/>
    <s v="Ravi"/>
    <x v="2"/>
    <x v="7"/>
    <x v="3"/>
    <n v="5"/>
    <n v="20"/>
    <n v="100"/>
    <s v="Card"/>
  </r>
  <r>
    <n v="1199"/>
    <s v="2024-11-29"/>
    <s v="Vikas"/>
    <x v="1"/>
    <x v="7"/>
    <x v="3"/>
    <n v="5"/>
    <n v="20"/>
    <n v="100"/>
    <s v="Cash"/>
  </r>
  <r>
    <n v="1255"/>
    <s v="2024-10-29"/>
    <s v="Ravi"/>
    <x v="0"/>
    <x v="7"/>
    <x v="3"/>
    <n v="5"/>
    <n v="20"/>
    <n v="100"/>
    <s v="UPI"/>
  </r>
  <r>
    <n v="1258"/>
    <s v="2024-09-07"/>
    <s v="Priya"/>
    <x v="0"/>
    <x v="7"/>
    <x v="3"/>
    <n v="5"/>
    <n v="20"/>
    <n v="100"/>
    <s v="Cash"/>
  </r>
  <r>
    <n v="1295"/>
    <s v="2024-12-05"/>
    <s v="Neha"/>
    <x v="3"/>
    <x v="7"/>
    <x v="3"/>
    <n v="5"/>
    <n v="20"/>
    <n v="100"/>
    <s v="UPI"/>
  </r>
  <r>
    <n v="1323"/>
    <s v="2024-01-09"/>
    <s v="Rahul"/>
    <x v="1"/>
    <x v="7"/>
    <x v="3"/>
    <n v="5"/>
    <n v="20"/>
    <n v="100"/>
    <s v="Card"/>
  </r>
  <r>
    <n v="1339"/>
    <s v="2024-01-03"/>
    <s v="Pooja"/>
    <x v="3"/>
    <x v="7"/>
    <x v="3"/>
    <n v="5"/>
    <n v="20"/>
    <n v="100"/>
    <s v="Card"/>
  </r>
  <r>
    <n v="1429"/>
    <s v="2024-10-17"/>
    <s v="Neha"/>
    <x v="1"/>
    <x v="7"/>
    <x v="3"/>
    <n v="5"/>
    <n v="20"/>
    <n v="100"/>
    <s v="Card"/>
  </r>
  <r>
    <n v="1434"/>
    <s v="2024-04-14"/>
    <s v="Neha"/>
    <x v="3"/>
    <x v="7"/>
    <x v="3"/>
    <n v="5"/>
    <n v="20"/>
    <n v="100"/>
    <s v="UPI"/>
  </r>
  <r>
    <n v="1487"/>
    <s v="2024-05-03"/>
    <s v="Kiran"/>
    <x v="3"/>
    <x v="7"/>
    <x v="3"/>
    <n v="5"/>
    <n v="20"/>
    <n v="100"/>
    <s v="Cash"/>
  </r>
  <r>
    <n v="1020"/>
    <s v="2024-10-17"/>
    <s v="Pooja"/>
    <x v="1"/>
    <x v="7"/>
    <x v="3"/>
    <n v="4"/>
    <n v="20"/>
    <n v="80"/>
    <s v="UPI"/>
  </r>
  <r>
    <n v="1037"/>
    <s v="2024-07-26"/>
    <s v="Priya"/>
    <x v="0"/>
    <x v="7"/>
    <x v="3"/>
    <n v="4"/>
    <n v="20"/>
    <n v="80"/>
    <s v="Card"/>
  </r>
  <r>
    <n v="1045"/>
    <s v="2024-07-23"/>
    <s v="Amit"/>
    <x v="3"/>
    <x v="7"/>
    <x v="3"/>
    <n v="4"/>
    <n v="20"/>
    <n v="80"/>
    <s v="Card"/>
  </r>
  <r>
    <n v="1098"/>
    <s v="2024-06-13"/>
    <s v="Ravi"/>
    <x v="1"/>
    <x v="7"/>
    <x v="3"/>
    <n v="4"/>
    <n v="20"/>
    <n v="80"/>
    <s v="Net Banking"/>
  </r>
  <r>
    <n v="1114"/>
    <s v="2024-02-19"/>
    <s v="Suresh"/>
    <x v="0"/>
    <x v="7"/>
    <x v="3"/>
    <n v="4"/>
    <n v="20"/>
    <n v="80"/>
    <s v="Card"/>
  </r>
  <r>
    <n v="1118"/>
    <s v="2024-10-09"/>
    <s v="Kiran"/>
    <x v="2"/>
    <x v="7"/>
    <x v="3"/>
    <n v="4"/>
    <n v="20"/>
    <n v="80"/>
    <s v="Card"/>
  </r>
  <r>
    <n v="1179"/>
    <s v="2024-06-27"/>
    <s v="Pooja"/>
    <x v="0"/>
    <x v="7"/>
    <x v="3"/>
    <n v="4"/>
    <n v="20"/>
    <n v="80"/>
    <s v="Net Banking"/>
  </r>
  <r>
    <n v="1182"/>
    <s v="2024-02-16"/>
    <s v="Ravi"/>
    <x v="1"/>
    <x v="7"/>
    <x v="3"/>
    <n v="4"/>
    <n v="20"/>
    <n v="80"/>
    <s v="Card"/>
  </r>
  <r>
    <n v="1186"/>
    <s v="2024-06-17"/>
    <s v="Anjali"/>
    <x v="1"/>
    <x v="7"/>
    <x v="3"/>
    <n v="4"/>
    <n v="20"/>
    <n v="80"/>
    <s v="Card"/>
  </r>
  <r>
    <n v="1361"/>
    <s v="2024-05-23"/>
    <s v="Amit"/>
    <x v="3"/>
    <x v="7"/>
    <x v="3"/>
    <n v="4"/>
    <n v="20"/>
    <n v="80"/>
    <s v="Card"/>
  </r>
  <r>
    <n v="1419"/>
    <s v="2024-06-30"/>
    <s v="Vikas"/>
    <x v="2"/>
    <x v="7"/>
    <x v="3"/>
    <n v="4"/>
    <n v="20"/>
    <n v="80"/>
    <s v="UPI"/>
  </r>
  <r>
    <n v="1438"/>
    <s v="2024-03-02"/>
    <s v="Pooja"/>
    <x v="3"/>
    <x v="7"/>
    <x v="3"/>
    <n v="4"/>
    <n v="20"/>
    <n v="80"/>
    <s v="Net Banking"/>
  </r>
  <r>
    <n v="1072"/>
    <s v="2024-02-11"/>
    <s v="Kiran"/>
    <x v="0"/>
    <x v="7"/>
    <x v="3"/>
    <n v="3"/>
    <n v="20"/>
    <n v="60"/>
    <s v="Card"/>
  </r>
  <r>
    <n v="1074"/>
    <s v="2024-01-12"/>
    <s v="Amit"/>
    <x v="1"/>
    <x v="7"/>
    <x v="3"/>
    <n v="3"/>
    <n v="20"/>
    <n v="60"/>
    <s v="Net Banking"/>
  </r>
  <r>
    <n v="1101"/>
    <s v="2024-11-13"/>
    <s v="Vikas"/>
    <x v="3"/>
    <x v="7"/>
    <x v="3"/>
    <n v="3"/>
    <n v="20"/>
    <n v="60"/>
    <s v="Net Banking"/>
  </r>
  <r>
    <n v="1115"/>
    <s v="2024-05-06"/>
    <s v="Neha"/>
    <x v="0"/>
    <x v="7"/>
    <x v="3"/>
    <n v="3"/>
    <n v="20"/>
    <n v="60"/>
    <s v="Card"/>
  </r>
  <r>
    <n v="1124"/>
    <s v="2024-10-10"/>
    <s v="Rahul"/>
    <x v="0"/>
    <x v="7"/>
    <x v="3"/>
    <n v="3"/>
    <n v="20"/>
    <n v="60"/>
    <s v="Net Banking"/>
  </r>
  <r>
    <n v="1137"/>
    <s v="2024-04-28"/>
    <s v="Priya"/>
    <x v="1"/>
    <x v="7"/>
    <x v="3"/>
    <n v="3"/>
    <n v="20"/>
    <n v="60"/>
    <s v="UPI"/>
  </r>
  <r>
    <n v="1138"/>
    <s v="2024-05-18"/>
    <s v="Vikas"/>
    <x v="2"/>
    <x v="7"/>
    <x v="3"/>
    <n v="3"/>
    <n v="20"/>
    <n v="60"/>
    <s v="Card"/>
  </r>
  <r>
    <n v="1149"/>
    <s v="2024-03-31"/>
    <s v="Vikas"/>
    <x v="2"/>
    <x v="7"/>
    <x v="3"/>
    <n v="3"/>
    <n v="20"/>
    <n v="60"/>
    <s v="Cash"/>
  </r>
  <r>
    <n v="1226"/>
    <s v="2024-01-19"/>
    <s v="Pooja"/>
    <x v="0"/>
    <x v="7"/>
    <x v="3"/>
    <n v="3"/>
    <n v="20"/>
    <n v="60"/>
    <s v="UPI"/>
  </r>
  <r>
    <n v="1230"/>
    <s v="2024-02-07"/>
    <s v="Neha"/>
    <x v="2"/>
    <x v="7"/>
    <x v="3"/>
    <n v="3"/>
    <n v="20"/>
    <n v="60"/>
    <s v="Cash"/>
  </r>
  <r>
    <n v="1244"/>
    <s v="2024-07-11"/>
    <s v="Anjali"/>
    <x v="2"/>
    <x v="7"/>
    <x v="3"/>
    <n v="3"/>
    <n v="20"/>
    <n v="60"/>
    <s v="Card"/>
  </r>
  <r>
    <n v="1296"/>
    <s v="2024-01-19"/>
    <s v="Pooja"/>
    <x v="3"/>
    <x v="7"/>
    <x v="3"/>
    <n v="3"/>
    <n v="20"/>
    <n v="60"/>
    <s v="Net Banking"/>
  </r>
  <r>
    <n v="1338"/>
    <s v="2024-02-01"/>
    <s v="Amit"/>
    <x v="3"/>
    <x v="7"/>
    <x v="3"/>
    <n v="3"/>
    <n v="20"/>
    <n v="60"/>
    <s v="Card"/>
  </r>
  <r>
    <n v="1375"/>
    <s v="2024-05-11"/>
    <s v="Suresh"/>
    <x v="1"/>
    <x v="7"/>
    <x v="3"/>
    <n v="3"/>
    <n v="20"/>
    <n v="60"/>
    <s v="Net Banking"/>
  </r>
  <r>
    <n v="1409"/>
    <s v="2024-04-23"/>
    <s v="Kiran"/>
    <x v="1"/>
    <x v="7"/>
    <x v="3"/>
    <n v="3"/>
    <n v="20"/>
    <n v="60"/>
    <s v="Card"/>
  </r>
  <r>
    <n v="1441"/>
    <s v="2024-08-04"/>
    <s v="Vikas"/>
    <x v="2"/>
    <x v="7"/>
    <x v="3"/>
    <n v="3"/>
    <n v="20"/>
    <n v="60"/>
    <s v="Net Banking"/>
  </r>
  <r>
    <n v="1472"/>
    <s v="2024-10-18"/>
    <s v="Priya"/>
    <x v="1"/>
    <x v="7"/>
    <x v="3"/>
    <n v="3"/>
    <n v="20"/>
    <n v="60"/>
    <s v="Card"/>
  </r>
  <r>
    <n v="1023"/>
    <s v="2024-04-02"/>
    <s v="Priya"/>
    <x v="1"/>
    <x v="7"/>
    <x v="3"/>
    <n v="2"/>
    <n v="20"/>
    <n v="40"/>
    <s v="Card"/>
  </r>
  <r>
    <n v="1033"/>
    <s v="2024-08-25"/>
    <s v="Ravi"/>
    <x v="3"/>
    <x v="7"/>
    <x v="3"/>
    <n v="2"/>
    <n v="20"/>
    <n v="40"/>
    <s v="Cash"/>
  </r>
  <r>
    <n v="1044"/>
    <s v="2024-11-04"/>
    <s v="Suresh"/>
    <x v="0"/>
    <x v="7"/>
    <x v="3"/>
    <n v="2"/>
    <n v="20"/>
    <n v="40"/>
    <s v="Net Banking"/>
  </r>
  <r>
    <n v="1100"/>
    <s v="2024-03-02"/>
    <s v="Ravi"/>
    <x v="0"/>
    <x v="7"/>
    <x v="3"/>
    <n v="2"/>
    <n v="20"/>
    <n v="40"/>
    <s v="Card"/>
  </r>
  <r>
    <n v="1128"/>
    <s v="2024-02-20"/>
    <s v="Amit"/>
    <x v="3"/>
    <x v="7"/>
    <x v="3"/>
    <n v="2"/>
    <n v="20"/>
    <n v="40"/>
    <s v="UPI"/>
  </r>
  <r>
    <n v="1141"/>
    <s v="2024-10-23"/>
    <s v="Amit"/>
    <x v="0"/>
    <x v="7"/>
    <x v="3"/>
    <n v="2"/>
    <n v="20"/>
    <n v="40"/>
    <s v="Cash"/>
  </r>
  <r>
    <n v="1198"/>
    <s v="2024-03-14"/>
    <s v="Anjali"/>
    <x v="3"/>
    <x v="7"/>
    <x v="3"/>
    <n v="2"/>
    <n v="20"/>
    <n v="40"/>
    <s v="Net Banking"/>
  </r>
  <r>
    <n v="1238"/>
    <s v="2024-01-15"/>
    <s v="Rahul"/>
    <x v="3"/>
    <x v="7"/>
    <x v="3"/>
    <n v="2"/>
    <n v="20"/>
    <n v="40"/>
    <s v="Net Banking"/>
  </r>
  <r>
    <n v="1346"/>
    <s v="2024-07-06"/>
    <s v="Priya"/>
    <x v="0"/>
    <x v="7"/>
    <x v="3"/>
    <n v="2"/>
    <n v="20"/>
    <n v="40"/>
    <s v="UPI"/>
  </r>
  <r>
    <n v="1350"/>
    <s v="2024-03-23"/>
    <s v="Neha"/>
    <x v="2"/>
    <x v="7"/>
    <x v="3"/>
    <n v="2"/>
    <n v="20"/>
    <n v="40"/>
    <s v="Cash"/>
  </r>
  <r>
    <n v="1406"/>
    <s v="2024-01-15"/>
    <s v="Suresh"/>
    <x v="0"/>
    <x v="7"/>
    <x v="3"/>
    <n v="2"/>
    <n v="20"/>
    <n v="40"/>
    <s v="Cash"/>
  </r>
  <r>
    <n v="1448"/>
    <s v="2024-05-27"/>
    <s v="Rahul"/>
    <x v="1"/>
    <x v="7"/>
    <x v="3"/>
    <n v="2"/>
    <n v="20"/>
    <n v="40"/>
    <s v="Card"/>
  </r>
  <r>
    <n v="1460"/>
    <s v="2024-03-11"/>
    <s v="Suresh"/>
    <x v="0"/>
    <x v="7"/>
    <x v="3"/>
    <n v="2"/>
    <n v="20"/>
    <n v="40"/>
    <s v="Cash"/>
  </r>
  <r>
    <n v="1061"/>
    <s v="2024-10-13"/>
    <s v="Anjali"/>
    <x v="1"/>
    <x v="7"/>
    <x v="3"/>
    <n v="1"/>
    <n v="20"/>
    <n v="20"/>
    <s v="Cash"/>
  </r>
  <r>
    <n v="1070"/>
    <s v="2024-12-29"/>
    <s v="Pooja"/>
    <x v="2"/>
    <x v="7"/>
    <x v="3"/>
    <n v="1"/>
    <n v="20"/>
    <n v="20"/>
    <s v="UPI"/>
  </r>
  <r>
    <n v="1078"/>
    <s v="2024-11-02"/>
    <s v="Suresh"/>
    <x v="3"/>
    <x v="7"/>
    <x v="3"/>
    <n v="1"/>
    <n v="20"/>
    <n v="20"/>
    <s v="Cash"/>
  </r>
  <r>
    <n v="1095"/>
    <s v="2024-01-09"/>
    <s v="Vikas"/>
    <x v="1"/>
    <x v="7"/>
    <x v="3"/>
    <n v="1"/>
    <n v="20"/>
    <n v="20"/>
    <s v="Cash"/>
  </r>
  <r>
    <n v="1209"/>
    <s v="2024-08-27"/>
    <s v="Rahul"/>
    <x v="0"/>
    <x v="7"/>
    <x v="3"/>
    <n v="1"/>
    <n v="20"/>
    <n v="20"/>
    <s v="UPI"/>
  </r>
  <r>
    <n v="1219"/>
    <s v="2024-01-07"/>
    <s v="Vikas"/>
    <x v="2"/>
    <x v="7"/>
    <x v="3"/>
    <n v="1"/>
    <n v="20"/>
    <n v="20"/>
    <s v="Net Banking"/>
  </r>
  <r>
    <n v="1221"/>
    <s v="2024-10-05"/>
    <s v="Ravi"/>
    <x v="3"/>
    <x v="7"/>
    <x v="3"/>
    <n v="1"/>
    <n v="20"/>
    <n v="20"/>
    <s v="UPI"/>
  </r>
  <r>
    <n v="1260"/>
    <s v="2024-10-23"/>
    <s v="Suresh"/>
    <x v="2"/>
    <x v="7"/>
    <x v="3"/>
    <n v="1"/>
    <n v="20"/>
    <n v="20"/>
    <s v="Net Banking"/>
  </r>
  <r>
    <n v="1277"/>
    <s v="2024-10-09"/>
    <s v="Suresh"/>
    <x v="1"/>
    <x v="7"/>
    <x v="3"/>
    <n v="1"/>
    <n v="20"/>
    <n v="20"/>
    <s v="UPI"/>
  </r>
  <r>
    <n v="1328"/>
    <s v="2024-03-17"/>
    <s v="Vikas"/>
    <x v="0"/>
    <x v="7"/>
    <x v="3"/>
    <n v="1"/>
    <n v="20"/>
    <n v="20"/>
    <s v="UPI"/>
  </r>
  <r>
    <n v="1334"/>
    <s v="2024-08-25"/>
    <s v="Anjali"/>
    <x v="2"/>
    <x v="7"/>
    <x v="3"/>
    <n v="1"/>
    <n v="20"/>
    <n v="20"/>
    <s v="Cash"/>
  </r>
  <r>
    <n v="1395"/>
    <s v="2024-02-06"/>
    <s v="Neha"/>
    <x v="3"/>
    <x v="7"/>
    <x v="3"/>
    <n v="1"/>
    <n v="20"/>
    <n v="20"/>
    <s v="Cash"/>
  </r>
  <r>
    <n v="1431"/>
    <s v="2024-11-10"/>
    <s v="Ravi"/>
    <x v="2"/>
    <x v="7"/>
    <x v="3"/>
    <n v="1"/>
    <n v="20"/>
    <n v="20"/>
    <s v="UPI"/>
  </r>
  <r>
    <n v="1440"/>
    <s v="2024-12-22"/>
    <s v="Ravi"/>
    <x v="3"/>
    <x v="7"/>
    <x v="3"/>
    <n v="1"/>
    <n v="20"/>
    <n v="20"/>
    <s v="Net Banking"/>
  </r>
  <r>
    <n v="1452"/>
    <s v="2024-11-17"/>
    <s v="Amit"/>
    <x v="3"/>
    <x v="7"/>
    <x v="3"/>
    <n v="1"/>
    <n v="20"/>
    <n v="20"/>
    <s v="UPI"/>
  </r>
  <r>
    <n v="1484"/>
    <s v="2024-10-11"/>
    <s v="Vikas"/>
    <x v="1"/>
    <x v="7"/>
    <x v="3"/>
    <n v="1"/>
    <n v="20"/>
    <n v="20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365D4B-9AF1-4F30-94FC-B9878B04BB22}" name="PivotTable3" cacheId="9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D15" firstHeaderRow="0" firstDataRow="1" firstDataCol="1" rowPageCount="1" colPageCount="1"/>
  <pivotFields count="11">
    <pivotField dataField="1"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1"/>
        <item x="0"/>
        <item h="1" x="3"/>
        <item h="1" x="2"/>
        <item t="default"/>
      </items>
    </pivotField>
    <pivotField compact="0" outline="0" showAll="0">
      <items count="9">
        <item x="1"/>
        <item x="0"/>
        <item x="6"/>
        <item x="3"/>
        <item x="4"/>
        <item x="5"/>
        <item x="7"/>
        <item x="2"/>
        <item t="default"/>
      </items>
    </pivotField>
    <pivotField compact="0" outline="0" showAll="0">
      <items count="5">
        <item h="1" x="3"/>
        <item h="1" x="1"/>
        <item h="1" x="0"/>
        <item x="2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13">
        <item x="0"/>
        <item x="8"/>
        <item x="3"/>
        <item x="2"/>
        <item x="7"/>
        <item x="6"/>
        <item x="1"/>
        <item x="10"/>
        <item x="5"/>
        <item x="9"/>
        <item x="4"/>
        <item x="11"/>
        <item t="default"/>
      </items>
    </pivotField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Count of OrderID" fld="0" subtotal="count" baseField="0" baseItem="0"/>
    <dataField name="Sum of Quantity" fld="6" baseField="0" baseItem="0"/>
    <dataField name="Sum of TotalAmount" fld="8" baseField="0" baseItem="0"/>
  </dataFields>
  <conditionalFormats count="3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0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10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10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58"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9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96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5" format="39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5" format="398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5" format="399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5" format="400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5" format="401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5" format="402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5" format="403">
      <pivotArea type="data" outline="0" fieldPosition="0">
        <references count="2">
          <reference field="4294967294" count="1" selected="0">
            <x v="1"/>
          </reference>
          <reference field="10" count="1" selected="0">
            <x v="7"/>
          </reference>
        </references>
      </pivotArea>
    </chartFormat>
    <chartFormat chart="5" format="404">
      <pivotArea type="data" outline="0" fieldPosition="0">
        <references count="2">
          <reference field="4294967294" count="1" selected="0">
            <x v="1"/>
          </reference>
          <reference field="10" count="1" selected="0">
            <x v="8"/>
          </reference>
        </references>
      </pivotArea>
    </chartFormat>
    <chartFormat chart="5" format="405">
      <pivotArea type="data" outline="0" fieldPosition="0">
        <references count="2">
          <reference field="4294967294" count="1" selected="0">
            <x v="1"/>
          </reference>
          <reference field="10" count="1" selected="0">
            <x v="9"/>
          </reference>
        </references>
      </pivotArea>
    </chartFormat>
    <chartFormat chart="5" format="40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"/>
          </reference>
        </references>
      </pivotArea>
    </chartFormat>
    <chartFormat chart="5" format="407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"/>
          </reference>
        </references>
      </pivotArea>
    </chartFormat>
    <chartFormat chart="5" format="40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409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5" format="410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5" format="411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5" format="412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5" format="413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  <chartFormat chart="5" format="414">
      <pivotArea type="data" outline="0" fieldPosition="0">
        <references count="2">
          <reference field="4294967294" count="1" selected="0">
            <x v="2"/>
          </reference>
          <reference field="10" count="1" selected="0">
            <x v="5"/>
          </reference>
        </references>
      </pivotArea>
    </chartFormat>
    <chartFormat chart="5" format="415">
      <pivotArea type="data" outline="0" fieldPosition="0">
        <references count="2">
          <reference field="4294967294" count="1" selected="0">
            <x v="2"/>
          </reference>
          <reference field="10" count="1" selected="0">
            <x v="6"/>
          </reference>
        </references>
      </pivotArea>
    </chartFormat>
    <chartFormat chart="5" format="416">
      <pivotArea type="data" outline="0" fieldPosition="0">
        <references count="2">
          <reference field="4294967294" count="1" selected="0">
            <x v="2"/>
          </reference>
          <reference field="10" count="1" selected="0">
            <x v="7"/>
          </reference>
        </references>
      </pivotArea>
    </chartFormat>
    <chartFormat chart="5" format="417">
      <pivotArea type="data" outline="0" fieldPosition="0">
        <references count="2">
          <reference field="4294967294" count="1" selected="0">
            <x v="2"/>
          </reference>
          <reference field="10" count="1" selected="0">
            <x v="8"/>
          </reference>
        </references>
      </pivotArea>
    </chartFormat>
    <chartFormat chart="5" format="418">
      <pivotArea type="data" outline="0" fieldPosition="0">
        <references count="2">
          <reference field="4294967294" count="1" selected="0">
            <x v="2"/>
          </reference>
          <reference field="10" count="1" selected="0">
            <x v="9"/>
          </reference>
        </references>
      </pivotArea>
    </chartFormat>
    <chartFormat chart="5" format="419">
      <pivotArea type="data" outline="0" fieldPosition="0">
        <references count="2">
          <reference field="4294967294" count="1" selected="0">
            <x v="2"/>
          </reference>
          <reference field="10" count="1" selected="0">
            <x v="10"/>
          </reference>
        </references>
      </pivotArea>
    </chartFormat>
    <chartFormat chart="5" format="420">
      <pivotArea type="data" outline="0" fieldPosition="0">
        <references count="2">
          <reference field="4294967294" count="1" selected="0">
            <x v="2"/>
          </reference>
          <reference field="10" count="1" selected="0">
            <x v="11"/>
          </reference>
        </references>
      </pivotArea>
    </chartFormat>
    <chartFormat chart="6" format="4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22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6" format="42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6" format="424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  <chartFormat chart="6" format="425">
      <pivotArea type="data" outline="0" fieldPosition="0">
        <references count="2">
          <reference field="4294967294" count="1" selected="0">
            <x v="1"/>
          </reference>
          <reference field="10" count="1" selected="0">
            <x v="3"/>
          </reference>
        </references>
      </pivotArea>
    </chartFormat>
    <chartFormat chart="6" format="426">
      <pivotArea type="data" outline="0" fieldPosition="0">
        <references count="2">
          <reference field="4294967294" count="1" selected="0">
            <x v="1"/>
          </reference>
          <reference field="10" count="1" selected="0">
            <x v="4"/>
          </reference>
        </references>
      </pivotArea>
    </chartFormat>
    <chartFormat chart="6" format="427">
      <pivotArea type="data" outline="0" fieldPosition="0">
        <references count="2">
          <reference field="4294967294" count="1" selected="0">
            <x v="1"/>
          </reference>
          <reference field="10" count="1" selected="0">
            <x v="5"/>
          </reference>
        </references>
      </pivotArea>
    </chartFormat>
    <chartFormat chart="6" format="428">
      <pivotArea type="data" outline="0" fieldPosition="0">
        <references count="2">
          <reference field="4294967294" count="1" selected="0">
            <x v="1"/>
          </reference>
          <reference field="10" count="1" selected="0">
            <x v="6"/>
          </reference>
        </references>
      </pivotArea>
    </chartFormat>
    <chartFormat chart="6" format="429">
      <pivotArea type="data" outline="0" fieldPosition="0">
        <references count="2">
          <reference field="4294967294" count="1" selected="0">
            <x v="1"/>
          </reference>
          <reference field="10" count="1" selected="0">
            <x v="7"/>
          </reference>
        </references>
      </pivotArea>
    </chartFormat>
    <chartFormat chart="6" format="430">
      <pivotArea type="data" outline="0" fieldPosition="0">
        <references count="2">
          <reference field="4294967294" count="1" selected="0">
            <x v="1"/>
          </reference>
          <reference field="10" count="1" selected="0">
            <x v="8"/>
          </reference>
        </references>
      </pivotArea>
    </chartFormat>
    <chartFormat chart="6" format="431">
      <pivotArea type="data" outline="0" fieldPosition="0">
        <references count="2">
          <reference field="4294967294" count="1" selected="0">
            <x v="1"/>
          </reference>
          <reference field="10" count="1" selected="0">
            <x v="9"/>
          </reference>
        </references>
      </pivotArea>
    </chartFormat>
    <chartFormat chart="6" format="432">
      <pivotArea type="data" outline="0" fieldPosition="0">
        <references count="2">
          <reference field="4294967294" count="1" selected="0">
            <x v="1"/>
          </reference>
          <reference field="10" count="1" selected="0">
            <x v="10"/>
          </reference>
        </references>
      </pivotArea>
    </chartFormat>
    <chartFormat chart="6" format="433">
      <pivotArea type="data" outline="0" fieldPosition="0">
        <references count="2">
          <reference field="4294967294" count="1" selected="0">
            <x v="1"/>
          </reference>
          <reference field="10" count="1" selected="0">
            <x v="11"/>
          </reference>
        </references>
      </pivotArea>
    </chartFormat>
    <chartFormat chart="6" format="43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35">
      <pivotArea type="data" outline="0" fieldPosition="0">
        <references count="2">
          <reference field="4294967294" count="1" selected="0">
            <x v="2"/>
          </reference>
          <reference field="10" count="1" selected="0">
            <x v="0"/>
          </reference>
        </references>
      </pivotArea>
    </chartFormat>
    <chartFormat chart="6" format="436">
      <pivotArea type="data" outline="0" fieldPosition="0">
        <references count="2">
          <reference field="4294967294" count="1" selected="0">
            <x v="2"/>
          </reference>
          <reference field="10" count="1" selected="0">
            <x v="1"/>
          </reference>
        </references>
      </pivotArea>
    </chartFormat>
    <chartFormat chart="6" format="437">
      <pivotArea type="data" outline="0" fieldPosition="0">
        <references count="2">
          <reference field="4294967294" count="1" selected="0">
            <x v="2"/>
          </reference>
          <reference field="10" count="1" selected="0">
            <x v="2"/>
          </reference>
        </references>
      </pivotArea>
    </chartFormat>
    <chartFormat chart="6" format="438">
      <pivotArea type="data" outline="0" fieldPosition="0">
        <references count="2">
          <reference field="4294967294" count="1" selected="0">
            <x v="2"/>
          </reference>
          <reference field="10" count="1" selected="0">
            <x v="3"/>
          </reference>
        </references>
      </pivotArea>
    </chartFormat>
    <chartFormat chart="6" format="439">
      <pivotArea type="data" outline="0" fieldPosition="0">
        <references count="2">
          <reference field="4294967294" count="1" selected="0">
            <x v="2"/>
          </reference>
          <reference field="10" count="1" selected="0">
            <x v="4"/>
          </reference>
        </references>
      </pivotArea>
    </chartFormat>
    <chartFormat chart="6" format="440">
      <pivotArea type="data" outline="0" fieldPosition="0">
        <references count="2">
          <reference field="4294967294" count="1" selected="0">
            <x v="2"/>
          </reference>
          <reference field="10" count="1" selected="0">
            <x v="5"/>
          </reference>
        </references>
      </pivotArea>
    </chartFormat>
    <chartFormat chart="6" format="441">
      <pivotArea type="data" outline="0" fieldPosition="0">
        <references count="2">
          <reference field="4294967294" count="1" selected="0">
            <x v="2"/>
          </reference>
          <reference field="10" count="1" selected="0">
            <x v="6"/>
          </reference>
        </references>
      </pivotArea>
    </chartFormat>
    <chartFormat chart="6" format="442">
      <pivotArea type="data" outline="0" fieldPosition="0">
        <references count="2">
          <reference field="4294967294" count="1" selected="0">
            <x v="2"/>
          </reference>
          <reference field="10" count="1" selected="0">
            <x v="7"/>
          </reference>
        </references>
      </pivotArea>
    </chartFormat>
    <chartFormat chart="6" format="443">
      <pivotArea type="data" outline="0" fieldPosition="0">
        <references count="2">
          <reference field="4294967294" count="1" selected="0">
            <x v="2"/>
          </reference>
          <reference field="10" count="1" selected="0">
            <x v="8"/>
          </reference>
        </references>
      </pivotArea>
    </chartFormat>
    <chartFormat chart="6" format="444">
      <pivotArea type="data" outline="0" fieldPosition="0">
        <references count="2">
          <reference field="4294967294" count="1" selected="0">
            <x v="2"/>
          </reference>
          <reference field="10" count="1" selected="0">
            <x v="9"/>
          </reference>
        </references>
      </pivotArea>
    </chartFormat>
    <chartFormat chart="6" format="445">
      <pivotArea type="data" outline="0" fieldPosition="0">
        <references count="2">
          <reference field="4294967294" count="1" selected="0">
            <x v="2"/>
          </reference>
          <reference field="10" count="1" selected="0">
            <x v="10"/>
          </reference>
        </references>
      </pivotArea>
    </chartFormat>
    <chartFormat chart="6" format="446">
      <pivotArea type="data" outline="0" fieldPosition="0">
        <references count="2">
          <reference field="4294967294" count="1" selected="0">
            <x v="2"/>
          </reference>
          <reference field="10" count="1" selected="0">
            <x v="1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E687D-A864-49A7-AABC-5F1EADF19E02}" name="PivotTable1" cacheId="9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0" firstDataRow="1" firstDataCol="1"/>
  <pivotFields count="11"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outline="0" showAll="0">
      <items count="5">
        <item x="3"/>
        <item x="1"/>
        <item x="0"/>
        <item x="2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Quantity" fld="6" baseField="0" baseItem="0"/>
    <dataField name="Sum of TotalAmount" fld="8" baseField="0" baseItem="0"/>
  </dataFields>
  <chartFormats count="75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2" format="39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2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4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2" format="4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2" format="4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2" format="4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3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52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53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3" format="54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3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6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3" format="57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3" format="58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3" format="59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  <chartFormat chart="4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6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6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6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4" format="67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4" format="6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4" format="69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4" format="7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4" format="72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  <chartFormat chart="4" format="73">
      <pivotArea type="data" outline="0" fieldPosition="0">
        <references count="2">
          <reference field="4294967294" count="1" selected="0">
            <x v="2"/>
          </reference>
          <reference field="3" count="1" selected="0">
            <x v="2"/>
          </reference>
        </references>
      </pivotArea>
    </chartFormat>
    <chartFormat chart="4" format="74">
      <pivotArea type="data" outline="0" fieldPosition="0">
        <references count="2">
          <reference field="4294967294" count="1" selected="0">
            <x v="2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6279A-682A-4ECE-96A7-438827C70E14}" name="PivotTable1" cacheId="10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D8" firstHeaderRow="0" firstDataRow="1" firstDataCol="1" rowPageCount="1" colPageCount="1"/>
  <pivotFields count="10">
    <pivotField dataField="1" compact="0" outline="0" showAll="0"/>
    <pivotField compact="0" outline="0" showAll="0"/>
    <pivotField compact="0" outline="0" showAll="0"/>
    <pivotField axis="axisPage" compact="0" outline="0" showAll="0">
      <items count="5">
        <item x="1"/>
        <item h="1" x="0"/>
        <item h="1" x="2"/>
        <item h="1" x="3"/>
        <item t="default"/>
      </items>
    </pivotField>
    <pivotField compact="0" outline="0" showAll="0">
      <items count="9">
        <item x="4"/>
        <item x="3"/>
        <item x="5"/>
        <item x="0"/>
        <item x="1"/>
        <item x="6"/>
        <item x="7"/>
        <item x="2"/>
        <item t="default"/>
      </items>
    </pivotField>
    <pivotField axis="axisRow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item="0" hier="-1"/>
  </pageFields>
  <dataFields count="3">
    <dataField name="Count of OrderID" fld="0" subtotal="count" baseField="0" baseItem="0"/>
    <dataField name="Sum of Quantity" fld="6" baseField="0" baseItem="0"/>
    <dataField name="Sum of TotalAmount" fld="8" baseField="0" baseItem="0"/>
  </dataFields>
  <formats count="1">
    <format dxfId="13">
      <pivotArea outline="0" fieldPosition="0">
        <references count="2">
          <reference field="4294967294" count="1" selected="0">
            <x v="2"/>
          </reference>
          <reference field="5" count="0" selected="0"/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4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2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2"/>
          </reference>
          <reference field="5" count="1" selected="0">
            <x v="3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5" count="1" selected="0">
            <x v="1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5" count="1" selected="0">
            <x v="2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5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5" count="1" selected="0">
            <x v="3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88D71D26-24F8-4AB6-A73C-4E1358603A17}" sourceName="Category">
  <pivotTables>
    <pivotTable tabId="4" name="PivotTable1"/>
  </pivotTables>
  <data>
    <tabular pivotCacheId="2131264174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8A3912B4-024A-4436-8E40-0547063E08F3}" sourceName="Category">
  <pivotTables>
    <pivotTable tabId="6" name="PivotTable3"/>
  </pivotTables>
  <data>
    <tabular pivotCacheId="2131264174">
      <items count="4">
        <i x="3"/>
        <i x="1"/>
        <i x="0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EF720C48-5DE4-4DD6-B57D-BE946FF1B367}" sourceName="Product">
  <pivotTables>
    <pivotTable tabId="8" name="PivotTable1"/>
  </pivotTables>
  <data>
    <tabular pivotCacheId="9097458">
      <items count="8">
        <i x="4" s="1"/>
        <i x="3" s="1"/>
        <i x="5" s="1"/>
        <i x="0" s="1"/>
        <i x="1" s="1"/>
        <i x="6" s="1"/>
        <i x="7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379448F7-3354-457E-9029-4A2029AB244F}" cache="Slicer_Category1" caption="Category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990C9A5D-87F8-42E6-B0FE-2F175A62E012}" cache="Slicer_Category" caption="Category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19F3440B-3655-4B8E-AE32-FCDF147FFD62}" cache="Slicer_Product" caption="Produc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E9B19-C95F-43DA-BB3C-6B99EBE7B4ED}" name="Table1" displayName="Table1" ref="A1:K501" totalsRowShown="0" headerRowDxfId="12" dataDxfId="11">
  <autoFilter ref="A1:K501" xr:uid="{C74E9B19-C95F-43DA-BB3C-6B99EBE7B4ED}"/>
  <tableColumns count="11">
    <tableColumn id="1" xr3:uid="{6C44C1CA-9E98-4756-896D-71FDB13CEEB9}" name="OrderID" dataDxfId="10"/>
    <tableColumn id="2" xr3:uid="{6BCB40D4-37F1-4A22-A984-F38F8D5ED36E}" name="OrderDate" dataDxfId="9"/>
    <tableColumn id="3" xr3:uid="{267008A5-5B1D-4223-B6B8-5CF87EE26E6B}" name="CustomerName" dataDxfId="8"/>
    <tableColumn id="4" xr3:uid="{D43CADDD-D4CC-485F-901C-F68B7C60FE8A}" name="Region" dataDxfId="7"/>
    <tableColumn id="5" xr3:uid="{15C7082C-89E5-41D1-A93D-510631CF2CE9}" name="Product" dataDxfId="6"/>
    <tableColumn id="6" xr3:uid="{C7875A78-672F-4235-B704-CE5D2204736E}" name="Category" dataDxfId="5"/>
    <tableColumn id="7" xr3:uid="{5BE71216-EEBC-46A2-8252-09BEADCEBF13}" name="Quantity" dataDxfId="4"/>
    <tableColumn id="8" xr3:uid="{D4C3FB5C-C00B-4B4A-8D5E-9B0FA66F124E}" name="UnitPrice" dataDxfId="3"/>
    <tableColumn id="9" xr3:uid="{F4F5640C-3778-4885-9091-0B95B4841321}" name="TotalAmount" dataDxfId="2"/>
    <tableColumn id="10" xr3:uid="{0ADADC4F-BD98-47BC-B609-6141047AE237}" name="PaymentMode" dataDxfId="1"/>
    <tableColumn id="11" xr3:uid="{F85FAF6F-10B2-4E6C-8F68-90811CA60B4C}" name="Month_Name" dataDxfId="0">
      <calculatedColumnFormula>TEXT(Table1[[#This Row],[OrderDate]],"mmm")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9945D0-6FBA-4370-9A0F-62F048D728F9}" name="Table14" displayName="Table14" ref="A1:J501" totalsRowShown="0">
  <autoFilter ref="A1:J501" xr:uid="{F89945D0-6FBA-4370-9A0F-62F048D728F9}"/>
  <sortState xmlns:xlrd2="http://schemas.microsoft.com/office/spreadsheetml/2017/richdata2" ref="A2:J501">
    <sortCondition descending="1" ref="I1:I501"/>
  </sortState>
  <tableColumns count="10">
    <tableColumn id="1" xr3:uid="{3B7CA0D9-1BA6-4375-9698-B323202606A4}" name="OrderID"/>
    <tableColumn id="2" xr3:uid="{E82DEDEF-A80E-45E4-877B-C0E92F58E8D0}" name="OrderDate"/>
    <tableColumn id="3" xr3:uid="{60324675-A67E-4A95-80BC-2D26FF48A109}" name="CustomerName"/>
    <tableColumn id="4" xr3:uid="{533F7040-8A5F-43DA-9094-FF36BF5978EB}" name="Region"/>
    <tableColumn id="5" xr3:uid="{9745A456-91EB-42B3-B482-C233752CED23}" name="Product"/>
    <tableColumn id="6" xr3:uid="{90ED16B5-CCB4-456C-BB9B-AB068C09C144}" name="Category"/>
    <tableColumn id="7" xr3:uid="{2DF35EAA-E218-449B-86E2-D4379BE3F60A}" name="Quantity"/>
    <tableColumn id="8" xr3:uid="{FB080BF2-84C9-4EE8-9454-65FECD7C5310}" name="UnitPrice"/>
    <tableColumn id="9" xr3:uid="{330DE002-93E0-45D2-8BE0-17481B65746E}" name="TotalAmount"/>
    <tableColumn id="10" xr3:uid="{5504FF9B-8358-4D15-8E0F-42568FF3AFEB}" name="PaymentM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A5" workbookViewId="0">
      <selection activeCell="K6" sqref="K6"/>
    </sheetView>
  </sheetViews>
  <sheetFormatPr defaultRowHeight="15"/>
  <cols>
    <col min="1" max="1" width="10.28515625" style="6" bestFit="1" customWidth="1"/>
    <col min="2" max="2" width="12.5703125" style="6" bestFit="1" customWidth="1"/>
    <col min="3" max="3" width="17" style="6" bestFit="1" customWidth="1"/>
    <col min="4" max="4" width="9.28515625" style="6" bestFit="1" customWidth="1"/>
    <col min="5" max="5" width="11.85546875" style="6" bestFit="1" customWidth="1"/>
    <col min="6" max="6" width="11.140625" style="6" bestFit="1" customWidth="1"/>
    <col min="7" max="7" width="11" style="6" bestFit="1" customWidth="1"/>
    <col min="8" max="8" width="11.42578125" style="6" bestFit="1" customWidth="1"/>
    <col min="9" max="9" width="14.85546875" style="6" bestFit="1" customWidth="1"/>
    <col min="10" max="10" width="16.28515625" style="6" bestFit="1" customWidth="1"/>
    <col min="11" max="11" width="14.85546875" style="6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</row>
    <row r="2" spans="1:11">
      <c r="A2" s="6">
        <v>1001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>
        <v>3</v>
      </c>
      <c r="H2" s="6">
        <v>8000</v>
      </c>
      <c r="I2" s="6">
        <v>24000</v>
      </c>
      <c r="J2" s="6" t="s">
        <v>16</v>
      </c>
      <c r="K2" s="5" t="str">
        <f>TEXT(Table1[[#This Row],[OrderDate]],"mmm")</f>
        <v>Jan</v>
      </c>
    </row>
    <row r="3" spans="1:11">
      <c r="A3" s="6">
        <v>1002</v>
      </c>
      <c r="B3" s="6" t="s">
        <v>17</v>
      </c>
      <c r="C3" s="6" t="s">
        <v>12</v>
      </c>
      <c r="D3" s="6" t="s">
        <v>18</v>
      </c>
      <c r="E3" s="6" t="s">
        <v>19</v>
      </c>
      <c r="F3" s="6" t="s">
        <v>15</v>
      </c>
      <c r="G3" s="6">
        <v>3</v>
      </c>
      <c r="H3" s="6">
        <v>4500</v>
      </c>
      <c r="I3" s="6">
        <v>13500</v>
      </c>
      <c r="J3" s="6" t="s">
        <v>20</v>
      </c>
      <c r="K3" s="6" t="str">
        <f>TEXT(Table1[[#This Row],[OrderDate]],"mmm")</f>
        <v>Jul</v>
      </c>
    </row>
    <row r="4" spans="1:11">
      <c r="A4" s="6">
        <v>1003</v>
      </c>
      <c r="B4" s="6" t="s">
        <v>21</v>
      </c>
      <c r="C4" s="6" t="s">
        <v>22</v>
      </c>
      <c r="D4" s="6" t="s">
        <v>23</v>
      </c>
      <c r="E4" s="6" t="s">
        <v>19</v>
      </c>
      <c r="F4" s="6" t="s">
        <v>15</v>
      </c>
      <c r="G4" s="6">
        <v>4</v>
      </c>
      <c r="H4" s="6">
        <v>4500</v>
      </c>
      <c r="I4" s="6">
        <v>18000</v>
      </c>
      <c r="J4" s="6" t="s">
        <v>20</v>
      </c>
      <c r="K4" s="6" t="str">
        <f>TEXT(Table1[[#This Row],[OrderDate]],"mmm")</f>
        <v>Jan</v>
      </c>
    </row>
    <row r="5" spans="1:11">
      <c r="A5" s="6">
        <v>1004</v>
      </c>
      <c r="B5" s="6" t="s">
        <v>24</v>
      </c>
      <c r="C5" s="6" t="s">
        <v>25</v>
      </c>
      <c r="D5" s="6" t="s">
        <v>18</v>
      </c>
      <c r="E5" s="6" t="s">
        <v>26</v>
      </c>
      <c r="F5" s="6" t="s">
        <v>27</v>
      </c>
      <c r="G5" s="6">
        <v>2</v>
      </c>
      <c r="H5" s="6">
        <v>15000</v>
      </c>
      <c r="I5" s="6">
        <v>30000</v>
      </c>
      <c r="J5" s="6" t="s">
        <v>20</v>
      </c>
      <c r="K5" s="6" t="str">
        <f>TEXT(Table1[[#This Row],[OrderDate]],"mmm")</f>
        <v>Apr</v>
      </c>
    </row>
    <row r="6" spans="1:11">
      <c r="A6" s="6">
        <v>1005</v>
      </c>
      <c r="B6" s="6" t="s">
        <v>28</v>
      </c>
      <c r="C6" s="6" t="s">
        <v>29</v>
      </c>
      <c r="D6" s="6" t="s">
        <v>30</v>
      </c>
      <c r="E6" s="6" t="s">
        <v>26</v>
      </c>
      <c r="F6" s="6" t="s">
        <v>27</v>
      </c>
      <c r="G6" s="6">
        <v>5</v>
      </c>
      <c r="H6" s="6">
        <v>15000</v>
      </c>
      <c r="I6" s="6">
        <v>75000</v>
      </c>
      <c r="J6" s="6" t="s">
        <v>20</v>
      </c>
      <c r="K6" s="6" t="str">
        <f>TEXT(Table1[[#This Row],[OrderDate]],"mmm")</f>
        <v>Mar</v>
      </c>
    </row>
    <row r="7" spans="1:11">
      <c r="A7" s="6">
        <v>1006</v>
      </c>
      <c r="B7" s="6" t="s">
        <v>31</v>
      </c>
      <c r="C7" s="6" t="s">
        <v>32</v>
      </c>
      <c r="D7" s="6" t="s">
        <v>18</v>
      </c>
      <c r="E7" s="6" t="s">
        <v>33</v>
      </c>
      <c r="F7" s="6" t="s">
        <v>27</v>
      </c>
      <c r="G7" s="6">
        <v>4</v>
      </c>
      <c r="H7" s="6">
        <v>55000</v>
      </c>
      <c r="I7" s="6">
        <v>220000</v>
      </c>
      <c r="J7" s="6" t="s">
        <v>34</v>
      </c>
      <c r="K7" s="6" t="str">
        <f>TEXT(Table1[[#This Row],[OrderDate]],"mmm")</f>
        <v>Nov</v>
      </c>
    </row>
    <row r="8" spans="1:11">
      <c r="A8" s="6">
        <v>1007</v>
      </c>
      <c r="B8" s="6" t="s">
        <v>35</v>
      </c>
      <c r="C8" s="6" t="s">
        <v>12</v>
      </c>
      <c r="D8" s="6" t="s">
        <v>30</v>
      </c>
      <c r="E8" s="6" t="s">
        <v>19</v>
      </c>
      <c r="F8" s="6" t="s">
        <v>15</v>
      </c>
      <c r="G8" s="6">
        <v>3</v>
      </c>
      <c r="H8" s="6">
        <v>4500</v>
      </c>
      <c r="I8" s="6">
        <v>13500</v>
      </c>
      <c r="J8" s="6" t="s">
        <v>20</v>
      </c>
      <c r="K8" s="6" t="str">
        <f>TEXT(Table1[[#This Row],[OrderDate]],"mmm")</f>
        <v>Sep</v>
      </c>
    </row>
    <row r="9" spans="1:11">
      <c r="A9" s="6">
        <v>1008</v>
      </c>
      <c r="B9" s="6" t="s">
        <v>36</v>
      </c>
      <c r="C9" s="6" t="s">
        <v>25</v>
      </c>
      <c r="D9" s="6" t="s">
        <v>18</v>
      </c>
      <c r="E9" s="6" t="s">
        <v>19</v>
      </c>
      <c r="F9" s="6" t="s">
        <v>15</v>
      </c>
      <c r="G9" s="6">
        <v>1</v>
      </c>
      <c r="H9" s="6">
        <v>4500</v>
      </c>
      <c r="I9" s="6">
        <v>4500</v>
      </c>
      <c r="J9" s="6" t="s">
        <v>20</v>
      </c>
      <c r="K9" s="6" t="str">
        <f>TEXT(Table1[[#This Row],[OrderDate]],"mmm")</f>
        <v>Mar</v>
      </c>
    </row>
    <row r="10" spans="1:11">
      <c r="A10" s="6">
        <v>1009</v>
      </c>
      <c r="B10" s="6" t="s">
        <v>37</v>
      </c>
      <c r="C10" s="6" t="s">
        <v>22</v>
      </c>
      <c r="D10" s="6" t="s">
        <v>23</v>
      </c>
      <c r="E10" s="6" t="s">
        <v>14</v>
      </c>
      <c r="F10" s="6" t="s">
        <v>15</v>
      </c>
      <c r="G10" s="6">
        <v>1</v>
      </c>
      <c r="H10" s="6">
        <v>8000</v>
      </c>
      <c r="I10" s="6">
        <v>8000</v>
      </c>
      <c r="J10" s="6" t="s">
        <v>38</v>
      </c>
      <c r="K10" s="6" t="str">
        <f>TEXT(Table1[[#This Row],[OrderDate]],"mmm")</f>
        <v>Jan</v>
      </c>
    </row>
    <row r="11" spans="1:11">
      <c r="A11" s="6">
        <v>1010</v>
      </c>
      <c r="B11" s="6" t="s">
        <v>39</v>
      </c>
      <c r="C11" s="6" t="s">
        <v>22</v>
      </c>
      <c r="D11" s="6" t="s">
        <v>23</v>
      </c>
      <c r="E11" s="6" t="s">
        <v>40</v>
      </c>
      <c r="F11" s="6" t="s">
        <v>27</v>
      </c>
      <c r="G11" s="6">
        <v>3</v>
      </c>
      <c r="H11" s="6">
        <v>20000</v>
      </c>
      <c r="I11" s="6">
        <v>60000</v>
      </c>
      <c r="J11" s="6" t="s">
        <v>16</v>
      </c>
      <c r="K11" s="6" t="str">
        <f>TEXT(Table1[[#This Row],[OrderDate]],"mmm")</f>
        <v>Jun</v>
      </c>
    </row>
    <row r="12" spans="1:11">
      <c r="A12" s="6">
        <v>1011</v>
      </c>
      <c r="B12" s="6" t="s">
        <v>41</v>
      </c>
      <c r="C12" s="6" t="s">
        <v>42</v>
      </c>
      <c r="D12" s="6" t="s">
        <v>13</v>
      </c>
      <c r="E12" s="6" t="s">
        <v>43</v>
      </c>
      <c r="F12" s="6" t="s">
        <v>44</v>
      </c>
      <c r="G12" s="6">
        <v>5</v>
      </c>
      <c r="H12" s="6">
        <v>150</v>
      </c>
      <c r="I12" s="6">
        <v>750</v>
      </c>
      <c r="J12" s="6" t="s">
        <v>16</v>
      </c>
      <c r="K12" s="6" t="str">
        <f>TEXT(Table1[[#This Row],[OrderDate]],"mmm")</f>
        <v>Nov</v>
      </c>
    </row>
    <row r="13" spans="1:11">
      <c r="A13" s="6">
        <v>1012</v>
      </c>
      <c r="B13" s="6" t="s">
        <v>45</v>
      </c>
      <c r="C13" s="6" t="s">
        <v>42</v>
      </c>
      <c r="D13" s="6" t="s">
        <v>18</v>
      </c>
      <c r="E13" s="6" t="s">
        <v>26</v>
      </c>
      <c r="F13" s="6" t="s">
        <v>27</v>
      </c>
      <c r="G13" s="6">
        <v>5</v>
      </c>
      <c r="H13" s="6">
        <v>15000</v>
      </c>
      <c r="I13" s="6">
        <v>75000</v>
      </c>
      <c r="J13" s="6" t="s">
        <v>20</v>
      </c>
      <c r="K13" s="6" t="str">
        <f>TEXT(Table1[[#This Row],[OrderDate]],"mmm")</f>
        <v>Jan</v>
      </c>
    </row>
    <row r="14" spans="1:11">
      <c r="A14" s="6">
        <v>1013</v>
      </c>
      <c r="B14" s="6" t="s">
        <v>46</v>
      </c>
      <c r="C14" s="6" t="s">
        <v>47</v>
      </c>
      <c r="D14" s="6" t="s">
        <v>30</v>
      </c>
      <c r="E14" s="6" t="s">
        <v>26</v>
      </c>
      <c r="F14" s="6" t="s">
        <v>27</v>
      </c>
      <c r="G14" s="6">
        <v>5</v>
      </c>
      <c r="H14" s="6">
        <v>15000</v>
      </c>
      <c r="I14" s="6">
        <v>75000</v>
      </c>
      <c r="J14" s="6" t="s">
        <v>38</v>
      </c>
      <c r="K14" s="6" t="str">
        <f>TEXT(Table1[[#This Row],[OrderDate]],"mmm")</f>
        <v>Jun</v>
      </c>
    </row>
    <row r="15" spans="1:11">
      <c r="A15" s="6">
        <v>1014</v>
      </c>
      <c r="B15" s="6" t="s">
        <v>48</v>
      </c>
      <c r="C15" s="6" t="s">
        <v>47</v>
      </c>
      <c r="D15" s="6" t="s">
        <v>30</v>
      </c>
      <c r="E15" s="6" t="s">
        <v>14</v>
      </c>
      <c r="F15" s="6" t="s">
        <v>15</v>
      </c>
      <c r="G15" s="6">
        <v>2</v>
      </c>
      <c r="H15" s="6">
        <v>8000</v>
      </c>
      <c r="I15" s="6">
        <v>16000</v>
      </c>
      <c r="J15" s="6" t="s">
        <v>16</v>
      </c>
      <c r="K15" s="6" t="str">
        <f>TEXT(Table1[[#This Row],[OrderDate]],"mmm")</f>
        <v>May</v>
      </c>
    </row>
    <row r="16" spans="1:11">
      <c r="A16" s="6">
        <v>1015</v>
      </c>
      <c r="B16" s="6" t="s">
        <v>39</v>
      </c>
      <c r="C16" s="6" t="s">
        <v>32</v>
      </c>
      <c r="D16" s="6" t="s">
        <v>13</v>
      </c>
      <c r="E16" s="6" t="s">
        <v>40</v>
      </c>
      <c r="F16" s="6" t="s">
        <v>27</v>
      </c>
      <c r="G16" s="6">
        <v>1</v>
      </c>
      <c r="H16" s="6">
        <v>20000</v>
      </c>
      <c r="I16" s="6">
        <v>20000</v>
      </c>
      <c r="J16" s="6" t="s">
        <v>34</v>
      </c>
      <c r="K16" s="6" t="str">
        <f>TEXT(Table1[[#This Row],[OrderDate]],"mmm")</f>
        <v>Jun</v>
      </c>
    </row>
    <row r="17" spans="1:11">
      <c r="A17" s="6">
        <v>1016</v>
      </c>
      <c r="B17" s="6" t="s">
        <v>49</v>
      </c>
      <c r="C17" s="6" t="s">
        <v>25</v>
      </c>
      <c r="D17" s="6" t="s">
        <v>13</v>
      </c>
      <c r="E17" s="6" t="s">
        <v>50</v>
      </c>
      <c r="F17" s="6" t="s">
        <v>51</v>
      </c>
      <c r="G17" s="6">
        <v>4</v>
      </c>
      <c r="H17" s="6">
        <v>2000</v>
      </c>
      <c r="I17" s="6">
        <v>8000</v>
      </c>
      <c r="J17" s="6" t="s">
        <v>20</v>
      </c>
      <c r="K17" s="6" t="str">
        <f>TEXT(Table1[[#This Row],[OrderDate]],"mmm")</f>
        <v>Feb</v>
      </c>
    </row>
    <row r="18" spans="1:11">
      <c r="A18" s="6">
        <v>1017</v>
      </c>
      <c r="B18" s="6" t="s">
        <v>52</v>
      </c>
      <c r="C18" s="6" t="s">
        <v>32</v>
      </c>
      <c r="D18" s="6" t="s">
        <v>23</v>
      </c>
      <c r="E18" s="6" t="s">
        <v>19</v>
      </c>
      <c r="F18" s="6" t="s">
        <v>15</v>
      </c>
      <c r="G18" s="6">
        <v>2</v>
      </c>
      <c r="H18" s="6">
        <v>4500</v>
      </c>
      <c r="I18" s="6">
        <v>9000</v>
      </c>
      <c r="J18" s="6" t="s">
        <v>34</v>
      </c>
      <c r="K18" s="6" t="str">
        <f>TEXT(Table1[[#This Row],[OrderDate]],"mmm")</f>
        <v>May</v>
      </c>
    </row>
    <row r="19" spans="1:11">
      <c r="A19" s="6">
        <v>1018</v>
      </c>
      <c r="B19" s="6" t="s">
        <v>53</v>
      </c>
      <c r="C19" s="6" t="s">
        <v>54</v>
      </c>
      <c r="D19" s="6" t="s">
        <v>18</v>
      </c>
      <c r="E19" s="6" t="s">
        <v>26</v>
      </c>
      <c r="F19" s="6" t="s">
        <v>27</v>
      </c>
      <c r="G19" s="6">
        <v>4</v>
      </c>
      <c r="H19" s="6">
        <v>15000</v>
      </c>
      <c r="I19" s="6">
        <v>60000</v>
      </c>
      <c r="J19" s="6" t="s">
        <v>38</v>
      </c>
      <c r="K19" s="6" t="str">
        <f>TEXT(Table1[[#This Row],[OrderDate]],"mmm")</f>
        <v>Nov</v>
      </c>
    </row>
    <row r="20" spans="1:11">
      <c r="A20" s="6">
        <v>1019</v>
      </c>
      <c r="B20" s="6" t="s">
        <v>55</v>
      </c>
      <c r="C20" s="6" t="s">
        <v>42</v>
      </c>
      <c r="D20" s="6" t="s">
        <v>23</v>
      </c>
      <c r="E20" s="6" t="s">
        <v>14</v>
      </c>
      <c r="F20" s="6" t="s">
        <v>15</v>
      </c>
      <c r="G20" s="6">
        <v>1</v>
      </c>
      <c r="H20" s="6">
        <v>8000</v>
      </c>
      <c r="I20" s="6">
        <v>8000</v>
      </c>
      <c r="J20" s="6" t="s">
        <v>20</v>
      </c>
      <c r="K20" s="6" t="str">
        <f>TEXT(Table1[[#This Row],[OrderDate]],"mmm")</f>
        <v>Jun</v>
      </c>
    </row>
    <row r="21" spans="1:11">
      <c r="A21" s="6">
        <v>1020</v>
      </c>
      <c r="B21" s="6" t="s">
        <v>56</v>
      </c>
      <c r="C21" s="6" t="s">
        <v>22</v>
      </c>
      <c r="D21" s="6" t="s">
        <v>18</v>
      </c>
      <c r="E21" s="6" t="s">
        <v>57</v>
      </c>
      <c r="F21" s="6" t="s">
        <v>44</v>
      </c>
      <c r="G21" s="6">
        <v>4</v>
      </c>
      <c r="H21" s="6">
        <v>20</v>
      </c>
      <c r="I21" s="6">
        <v>80</v>
      </c>
      <c r="J21" s="6" t="s">
        <v>34</v>
      </c>
      <c r="K21" s="6" t="str">
        <f>TEXT(Table1[[#This Row],[OrderDate]],"mmm")</f>
        <v>Oct</v>
      </c>
    </row>
    <row r="22" spans="1:11">
      <c r="A22" s="6">
        <v>1021</v>
      </c>
      <c r="B22" s="6" t="s">
        <v>58</v>
      </c>
      <c r="C22" s="6" t="s">
        <v>25</v>
      </c>
      <c r="D22" s="6" t="s">
        <v>30</v>
      </c>
      <c r="E22" s="6" t="s">
        <v>33</v>
      </c>
      <c r="F22" s="6" t="s">
        <v>27</v>
      </c>
      <c r="G22" s="6">
        <v>3</v>
      </c>
      <c r="H22" s="6">
        <v>55000</v>
      </c>
      <c r="I22" s="6">
        <v>165000</v>
      </c>
      <c r="J22" s="6" t="s">
        <v>34</v>
      </c>
      <c r="K22" s="6" t="str">
        <f>TEXT(Table1[[#This Row],[OrderDate]],"mmm")</f>
        <v>Jan</v>
      </c>
    </row>
    <row r="23" spans="1:11">
      <c r="A23" s="6">
        <v>1022</v>
      </c>
      <c r="B23" s="6" t="s">
        <v>59</v>
      </c>
      <c r="C23" s="6" t="s">
        <v>60</v>
      </c>
      <c r="D23" s="6" t="s">
        <v>13</v>
      </c>
      <c r="E23" s="6" t="s">
        <v>50</v>
      </c>
      <c r="F23" s="6" t="s">
        <v>51</v>
      </c>
      <c r="G23" s="6">
        <v>2</v>
      </c>
      <c r="H23" s="6">
        <v>2000</v>
      </c>
      <c r="I23" s="6">
        <v>4000</v>
      </c>
      <c r="J23" s="6" t="s">
        <v>16</v>
      </c>
      <c r="K23" s="6" t="str">
        <f>TEXT(Table1[[#This Row],[OrderDate]],"mmm")</f>
        <v>Feb</v>
      </c>
    </row>
    <row r="24" spans="1:11">
      <c r="A24" s="6">
        <v>1023</v>
      </c>
      <c r="B24" s="6" t="s">
        <v>61</v>
      </c>
      <c r="C24" s="6" t="s">
        <v>32</v>
      </c>
      <c r="D24" s="6" t="s">
        <v>18</v>
      </c>
      <c r="E24" s="6" t="s">
        <v>57</v>
      </c>
      <c r="F24" s="6" t="s">
        <v>44</v>
      </c>
      <c r="G24" s="6">
        <v>2</v>
      </c>
      <c r="H24" s="6">
        <v>20</v>
      </c>
      <c r="I24" s="6">
        <v>40</v>
      </c>
      <c r="J24" s="6" t="s">
        <v>38</v>
      </c>
      <c r="K24" s="6" t="str">
        <f>TEXT(Table1[[#This Row],[OrderDate]],"mmm")</f>
        <v>Apr</v>
      </c>
    </row>
    <row r="25" spans="1:11">
      <c r="A25" s="6">
        <v>1024</v>
      </c>
      <c r="B25" s="6" t="s">
        <v>62</v>
      </c>
      <c r="C25" s="6" t="s">
        <v>47</v>
      </c>
      <c r="D25" s="6" t="s">
        <v>30</v>
      </c>
      <c r="E25" s="6" t="s">
        <v>26</v>
      </c>
      <c r="F25" s="6" t="s">
        <v>27</v>
      </c>
      <c r="G25" s="6">
        <v>1</v>
      </c>
      <c r="H25" s="6">
        <v>15000</v>
      </c>
      <c r="I25" s="6">
        <v>15000</v>
      </c>
      <c r="J25" s="6" t="s">
        <v>38</v>
      </c>
      <c r="K25" s="6" t="str">
        <f>TEXT(Table1[[#This Row],[OrderDate]],"mmm")</f>
        <v>Jul</v>
      </c>
    </row>
    <row r="26" spans="1:11">
      <c r="A26" s="6">
        <v>1025</v>
      </c>
      <c r="B26" s="6" t="s">
        <v>63</v>
      </c>
      <c r="C26" s="6" t="s">
        <v>22</v>
      </c>
      <c r="D26" s="6" t="s">
        <v>18</v>
      </c>
      <c r="E26" s="6" t="s">
        <v>26</v>
      </c>
      <c r="F26" s="6" t="s">
        <v>27</v>
      </c>
      <c r="G26" s="6">
        <v>1</v>
      </c>
      <c r="H26" s="6">
        <v>15000</v>
      </c>
      <c r="I26" s="6">
        <v>15000</v>
      </c>
      <c r="J26" s="6" t="s">
        <v>20</v>
      </c>
      <c r="K26" s="6" t="str">
        <f>TEXT(Table1[[#This Row],[OrderDate]],"mmm")</f>
        <v>Oct</v>
      </c>
    </row>
    <row r="27" spans="1:11">
      <c r="A27" s="6">
        <v>1026</v>
      </c>
      <c r="B27" s="6" t="s">
        <v>64</v>
      </c>
      <c r="C27" s="6" t="s">
        <v>29</v>
      </c>
      <c r="D27" s="6" t="s">
        <v>30</v>
      </c>
      <c r="E27" s="6" t="s">
        <v>57</v>
      </c>
      <c r="F27" s="6" t="s">
        <v>44</v>
      </c>
      <c r="G27" s="6">
        <v>5</v>
      </c>
      <c r="H27" s="6">
        <v>20</v>
      </c>
      <c r="I27" s="6">
        <v>100</v>
      </c>
      <c r="J27" s="6" t="s">
        <v>38</v>
      </c>
      <c r="K27" s="6" t="str">
        <f>TEXT(Table1[[#This Row],[OrderDate]],"mmm")</f>
        <v>Feb</v>
      </c>
    </row>
    <row r="28" spans="1:11">
      <c r="A28" s="6">
        <v>1027</v>
      </c>
      <c r="B28" s="6" t="s">
        <v>65</v>
      </c>
      <c r="C28" s="6" t="s">
        <v>29</v>
      </c>
      <c r="D28" s="6" t="s">
        <v>13</v>
      </c>
      <c r="E28" s="6" t="s">
        <v>33</v>
      </c>
      <c r="F28" s="6" t="s">
        <v>27</v>
      </c>
      <c r="G28" s="6">
        <v>2</v>
      </c>
      <c r="H28" s="6">
        <v>55000</v>
      </c>
      <c r="I28" s="6">
        <v>110000</v>
      </c>
      <c r="J28" s="6" t="s">
        <v>16</v>
      </c>
      <c r="K28" s="6" t="str">
        <f>TEXT(Table1[[#This Row],[OrderDate]],"mmm")</f>
        <v>Jul</v>
      </c>
    </row>
    <row r="29" spans="1:11">
      <c r="A29" s="6">
        <v>1028</v>
      </c>
      <c r="B29" s="6" t="s">
        <v>66</v>
      </c>
      <c r="C29" s="6" t="s">
        <v>54</v>
      </c>
      <c r="D29" s="6" t="s">
        <v>30</v>
      </c>
      <c r="E29" s="6" t="s">
        <v>50</v>
      </c>
      <c r="F29" s="6" t="s">
        <v>51</v>
      </c>
      <c r="G29" s="6">
        <v>3</v>
      </c>
      <c r="H29" s="6">
        <v>2000</v>
      </c>
      <c r="I29" s="6">
        <v>6000</v>
      </c>
      <c r="J29" s="6" t="s">
        <v>16</v>
      </c>
      <c r="K29" s="6" t="str">
        <f>TEXT(Table1[[#This Row],[OrderDate]],"mmm")</f>
        <v>Oct</v>
      </c>
    </row>
    <row r="30" spans="1:11">
      <c r="A30" s="6">
        <v>1029</v>
      </c>
      <c r="B30" s="6" t="s">
        <v>67</v>
      </c>
      <c r="C30" s="6" t="s">
        <v>22</v>
      </c>
      <c r="D30" s="6" t="s">
        <v>23</v>
      </c>
      <c r="E30" s="6" t="s">
        <v>50</v>
      </c>
      <c r="F30" s="6" t="s">
        <v>51</v>
      </c>
      <c r="G30" s="6">
        <v>5</v>
      </c>
      <c r="H30" s="6">
        <v>2000</v>
      </c>
      <c r="I30" s="6">
        <v>10000</v>
      </c>
      <c r="J30" s="6" t="s">
        <v>38</v>
      </c>
      <c r="K30" s="6" t="str">
        <f>TEXT(Table1[[#This Row],[OrderDate]],"mmm")</f>
        <v>Apr</v>
      </c>
    </row>
    <row r="31" spans="1:11">
      <c r="A31" s="6">
        <v>1030</v>
      </c>
      <c r="B31" s="6" t="s">
        <v>68</v>
      </c>
      <c r="C31" s="6" t="s">
        <v>12</v>
      </c>
      <c r="D31" s="6" t="s">
        <v>13</v>
      </c>
      <c r="E31" s="6" t="s">
        <v>40</v>
      </c>
      <c r="F31" s="6" t="s">
        <v>27</v>
      </c>
      <c r="G31" s="6">
        <v>1</v>
      </c>
      <c r="H31" s="6">
        <v>20000</v>
      </c>
      <c r="I31" s="6">
        <v>20000</v>
      </c>
      <c r="J31" s="6" t="s">
        <v>38</v>
      </c>
      <c r="K31" s="6" t="str">
        <f>TEXT(Table1[[#This Row],[OrderDate]],"mmm")</f>
        <v>Apr</v>
      </c>
    </row>
    <row r="32" spans="1:11">
      <c r="A32" s="6">
        <v>1031</v>
      </c>
      <c r="B32" s="6" t="s">
        <v>69</v>
      </c>
      <c r="C32" s="6" t="s">
        <v>32</v>
      </c>
      <c r="D32" s="6" t="s">
        <v>23</v>
      </c>
      <c r="E32" s="6" t="s">
        <v>57</v>
      </c>
      <c r="F32" s="6" t="s">
        <v>44</v>
      </c>
      <c r="G32" s="6">
        <v>5</v>
      </c>
      <c r="H32" s="6">
        <v>20</v>
      </c>
      <c r="I32" s="6">
        <v>100</v>
      </c>
      <c r="J32" s="6" t="s">
        <v>20</v>
      </c>
      <c r="K32" s="6" t="str">
        <f>TEXT(Table1[[#This Row],[OrderDate]],"mmm")</f>
        <v>Sep</v>
      </c>
    </row>
    <row r="33" spans="1:11">
      <c r="A33" s="6">
        <v>1032</v>
      </c>
      <c r="B33" s="6" t="s">
        <v>70</v>
      </c>
      <c r="C33" s="6" t="s">
        <v>71</v>
      </c>
      <c r="D33" s="6" t="s">
        <v>30</v>
      </c>
      <c r="E33" s="6" t="s">
        <v>26</v>
      </c>
      <c r="F33" s="6" t="s">
        <v>27</v>
      </c>
      <c r="G33" s="6">
        <v>4</v>
      </c>
      <c r="H33" s="6">
        <v>15000</v>
      </c>
      <c r="I33" s="6">
        <v>60000</v>
      </c>
      <c r="J33" s="6" t="s">
        <v>34</v>
      </c>
      <c r="K33" s="6" t="str">
        <f>TEXT(Table1[[#This Row],[OrderDate]],"mmm")</f>
        <v>Mar</v>
      </c>
    </row>
    <row r="34" spans="1:11">
      <c r="A34" s="6">
        <v>1033</v>
      </c>
      <c r="B34" s="6" t="s">
        <v>72</v>
      </c>
      <c r="C34" s="6" t="s">
        <v>54</v>
      </c>
      <c r="D34" s="6" t="s">
        <v>23</v>
      </c>
      <c r="E34" s="6" t="s">
        <v>57</v>
      </c>
      <c r="F34" s="6" t="s">
        <v>44</v>
      </c>
      <c r="G34" s="6">
        <v>2</v>
      </c>
      <c r="H34" s="6">
        <v>20</v>
      </c>
      <c r="I34" s="6">
        <v>40</v>
      </c>
      <c r="J34" s="6" t="s">
        <v>20</v>
      </c>
      <c r="K34" s="6" t="str">
        <f>TEXT(Table1[[#This Row],[OrderDate]],"mmm")</f>
        <v>Aug</v>
      </c>
    </row>
    <row r="35" spans="1:11">
      <c r="A35" s="6">
        <v>1034</v>
      </c>
      <c r="B35" s="6" t="s">
        <v>73</v>
      </c>
      <c r="C35" s="6" t="s">
        <v>22</v>
      </c>
      <c r="D35" s="6" t="s">
        <v>18</v>
      </c>
      <c r="E35" s="6" t="s">
        <v>19</v>
      </c>
      <c r="F35" s="6" t="s">
        <v>15</v>
      </c>
      <c r="G35" s="6">
        <v>3</v>
      </c>
      <c r="H35" s="6">
        <v>4500</v>
      </c>
      <c r="I35" s="6">
        <v>13500</v>
      </c>
      <c r="J35" s="6" t="s">
        <v>34</v>
      </c>
      <c r="K35" s="6" t="str">
        <f>TEXT(Table1[[#This Row],[OrderDate]],"mmm")</f>
        <v>Dec</v>
      </c>
    </row>
    <row r="36" spans="1:11">
      <c r="A36" s="6">
        <v>1035</v>
      </c>
      <c r="B36" s="6" t="s">
        <v>74</v>
      </c>
      <c r="C36" s="6" t="s">
        <v>22</v>
      </c>
      <c r="D36" s="6" t="s">
        <v>23</v>
      </c>
      <c r="E36" s="6" t="s">
        <v>43</v>
      </c>
      <c r="F36" s="6" t="s">
        <v>44</v>
      </c>
      <c r="G36" s="6">
        <v>3</v>
      </c>
      <c r="H36" s="6">
        <v>150</v>
      </c>
      <c r="I36" s="6">
        <v>450</v>
      </c>
      <c r="J36" s="6" t="s">
        <v>34</v>
      </c>
      <c r="K36" s="6" t="str">
        <f>TEXT(Table1[[#This Row],[OrderDate]],"mmm")</f>
        <v>Oct</v>
      </c>
    </row>
    <row r="37" spans="1:11">
      <c r="A37" s="6">
        <v>1036</v>
      </c>
      <c r="B37" s="6" t="s">
        <v>75</v>
      </c>
      <c r="C37" s="6" t="s">
        <v>25</v>
      </c>
      <c r="D37" s="6" t="s">
        <v>23</v>
      </c>
      <c r="E37" s="6" t="s">
        <v>50</v>
      </c>
      <c r="F37" s="6" t="s">
        <v>51</v>
      </c>
      <c r="G37" s="6">
        <v>4</v>
      </c>
      <c r="H37" s="6">
        <v>2000</v>
      </c>
      <c r="I37" s="6">
        <v>8000</v>
      </c>
      <c r="J37" s="6" t="s">
        <v>16</v>
      </c>
      <c r="K37" s="6" t="str">
        <f>TEXT(Table1[[#This Row],[OrderDate]],"mmm")</f>
        <v>Oct</v>
      </c>
    </row>
    <row r="38" spans="1:11">
      <c r="A38" s="6">
        <v>1037</v>
      </c>
      <c r="B38" s="6" t="s">
        <v>76</v>
      </c>
      <c r="C38" s="6" t="s">
        <v>32</v>
      </c>
      <c r="D38" s="6" t="s">
        <v>13</v>
      </c>
      <c r="E38" s="6" t="s">
        <v>57</v>
      </c>
      <c r="F38" s="6" t="s">
        <v>44</v>
      </c>
      <c r="G38" s="6">
        <v>4</v>
      </c>
      <c r="H38" s="6">
        <v>20</v>
      </c>
      <c r="I38" s="6">
        <v>80</v>
      </c>
      <c r="J38" s="6" t="s">
        <v>38</v>
      </c>
      <c r="K38" s="6" t="str">
        <f>TEXT(Table1[[#This Row],[OrderDate]],"mmm")</f>
        <v>Jul</v>
      </c>
    </row>
    <row r="39" spans="1:11">
      <c r="A39" s="6">
        <v>1038</v>
      </c>
      <c r="B39" s="6" t="s">
        <v>77</v>
      </c>
      <c r="C39" s="6" t="s">
        <v>22</v>
      </c>
      <c r="D39" s="6" t="s">
        <v>13</v>
      </c>
      <c r="E39" s="6" t="s">
        <v>43</v>
      </c>
      <c r="F39" s="6" t="s">
        <v>44</v>
      </c>
      <c r="G39" s="6">
        <v>4</v>
      </c>
      <c r="H39" s="6">
        <v>150</v>
      </c>
      <c r="I39" s="6">
        <v>600</v>
      </c>
      <c r="J39" s="6" t="s">
        <v>16</v>
      </c>
      <c r="K39" s="6" t="str">
        <f>TEXT(Table1[[#This Row],[OrderDate]],"mmm")</f>
        <v>Nov</v>
      </c>
    </row>
    <row r="40" spans="1:11">
      <c r="A40" s="6">
        <v>1039</v>
      </c>
      <c r="B40" s="6" t="s">
        <v>21</v>
      </c>
      <c r="C40" s="6" t="s">
        <v>47</v>
      </c>
      <c r="D40" s="6" t="s">
        <v>23</v>
      </c>
      <c r="E40" s="6" t="s">
        <v>40</v>
      </c>
      <c r="F40" s="6" t="s">
        <v>27</v>
      </c>
      <c r="G40" s="6">
        <v>1</v>
      </c>
      <c r="H40" s="6">
        <v>20000</v>
      </c>
      <c r="I40" s="6">
        <v>20000</v>
      </c>
      <c r="J40" s="6" t="s">
        <v>38</v>
      </c>
      <c r="K40" s="6" t="str">
        <f>TEXT(Table1[[#This Row],[OrderDate]],"mmm")</f>
        <v>Jan</v>
      </c>
    </row>
    <row r="41" spans="1:11">
      <c r="A41" s="6">
        <v>1040</v>
      </c>
      <c r="B41" s="6" t="s">
        <v>78</v>
      </c>
      <c r="C41" s="6" t="s">
        <v>42</v>
      </c>
      <c r="D41" s="6" t="s">
        <v>13</v>
      </c>
      <c r="E41" s="6" t="s">
        <v>14</v>
      </c>
      <c r="F41" s="6" t="s">
        <v>15</v>
      </c>
      <c r="G41" s="6">
        <v>5</v>
      </c>
      <c r="H41" s="6">
        <v>8000</v>
      </c>
      <c r="I41" s="6">
        <v>40000</v>
      </c>
      <c r="J41" s="6" t="s">
        <v>38</v>
      </c>
      <c r="K41" s="6" t="str">
        <f>TEXT(Table1[[#This Row],[OrderDate]],"mmm")</f>
        <v>Jul</v>
      </c>
    </row>
    <row r="42" spans="1:11">
      <c r="A42" s="6">
        <v>1041</v>
      </c>
      <c r="B42" s="6" t="s">
        <v>79</v>
      </c>
      <c r="C42" s="6" t="s">
        <v>71</v>
      </c>
      <c r="D42" s="6" t="s">
        <v>13</v>
      </c>
      <c r="E42" s="6" t="s">
        <v>19</v>
      </c>
      <c r="F42" s="6" t="s">
        <v>15</v>
      </c>
      <c r="G42" s="6">
        <v>4</v>
      </c>
      <c r="H42" s="6">
        <v>4500</v>
      </c>
      <c r="I42" s="6">
        <v>18000</v>
      </c>
      <c r="J42" s="6" t="s">
        <v>20</v>
      </c>
      <c r="K42" s="6" t="str">
        <f>TEXT(Table1[[#This Row],[OrderDate]],"mmm")</f>
        <v>Nov</v>
      </c>
    </row>
    <row r="43" spans="1:11">
      <c r="A43" s="6">
        <v>1042</v>
      </c>
      <c r="B43" s="6" t="s">
        <v>80</v>
      </c>
      <c r="C43" s="6" t="s">
        <v>54</v>
      </c>
      <c r="D43" s="6" t="s">
        <v>30</v>
      </c>
      <c r="E43" s="6" t="s">
        <v>26</v>
      </c>
      <c r="F43" s="6" t="s">
        <v>27</v>
      </c>
      <c r="G43" s="6">
        <v>1</v>
      </c>
      <c r="H43" s="6">
        <v>15000</v>
      </c>
      <c r="I43" s="6">
        <v>15000</v>
      </c>
      <c r="J43" s="6" t="s">
        <v>34</v>
      </c>
      <c r="K43" s="6" t="str">
        <f>TEXT(Table1[[#This Row],[OrderDate]],"mmm")</f>
        <v>May</v>
      </c>
    </row>
    <row r="44" spans="1:11">
      <c r="A44" s="6">
        <v>1043</v>
      </c>
      <c r="B44" s="6" t="s">
        <v>81</v>
      </c>
      <c r="C44" s="6" t="s">
        <v>60</v>
      </c>
      <c r="D44" s="6" t="s">
        <v>23</v>
      </c>
      <c r="E44" s="6" t="s">
        <v>19</v>
      </c>
      <c r="F44" s="6" t="s">
        <v>15</v>
      </c>
      <c r="G44" s="6">
        <v>5</v>
      </c>
      <c r="H44" s="6">
        <v>4500</v>
      </c>
      <c r="I44" s="6">
        <v>22500</v>
      </c>
      <c r="J44" s="6" t="s">
        <v>38</v>
      </c>
      <c r="K44" s="6" t="str">
        <f>TEXT(Table1[[#This Row],[OrderDate]],"mmm")</f>
        <v>Mar</v>
      </c>
    </row>
    <row r="45" spans="1:11">
      <c r="A45" s="6">
        <v>1044</v>
      </c>
      <c r="B45" s="6" t="s">
        <v>82</v>
      </c>
      <c r="C45" s="6" t="s">
        <v>60</v>
      </c>
      <c r="D45" s="6" t="s">
        <v>13</v>
      </c>
      <c r="E45" s="6" t="s">
        <v>57</v>
      </c>
      <c r="F45" s="6" t="s">
        <v>44</v>
      </c>
      <c r="G45" s="6">
        <v>2</v>
      </c>
      <c r="H45" s="6">
        <v>20</v>
      </c>
      <c r="I45" s="6">
        <v>40</v>
      </c>
      <c r="J45" s="6" t="s">
        <v>16</v>
      </c>
      <c r="K45" s="6" t="str">
        <f>TEXT(Table1[[#This Row],[OrderDate]],"mmm")</f>
        <v>Nov</v>
      </c>
    </row>
    <row r="46" spans="1:11">
      <c r="A46" s="6">
        <v>1045</v>
      </c>
      <c r="B46" s="6" t="s">
        <v>83</v>
      </c>
      <c r="C46" s="6" t="s">
        <v>12</v>
      </c>
      <c r="D46" s="6" t="s">
        <v>23</v>
      </c>
      <c r="E46" s="6" t="s">
        <v>57</v>
      </c>
      <c r="F46" s="6" t="s">
        <v>44</v>
      </c>
      <c r="G46" s="6">
        <v>4</v>
      </c>
      <c r="H46" s="6">
        <v>20</v>
      </c>
      <c r="I46" s="6">
        <v>80</v>
      </c>
      <c r="J46" s="6" t="s">
        <v>38</v>
      </c>
      <c r="K46" s="6" t="str">
        <f>TEXT(Table1[[#This Row],[OrderDate]],"mmm")</f>
        <v>Jul</v>
      </c>
    </row>
    <row r="47" spans="1:11">
      <c r="A47" s="6">
        <v>1046</v>
      </c>
      <c r="B47" s="6" t="s">
        <v>84</v>
      </c>
      <c r="C47" s="6" t="s">
        <v>29</v>
      </c>
      <c r="D47" s="6" t="s">
        <v>23</v>
      </c>
      <c r="E47" s="6" t="s">
        <v>26</v>
      </c>
      <c r="F47" s="6" t="s">
        <v>27</v>
      </c>
      <c r="G47" s="6">
        <v>5</v>
      </c>
      <c r="H47" s="6">
        <v>15000</v>
      </c>
      <c r="I47" s="6">
        <v>75000</v>
      </c>
      <c r="J47" s="6" t="s">
        <v>20</v>
      </c>
      <c r="K47" s="6" t="str">
        <f>TEXT(Table1[[#This Row],[OrderDate]],"mmm")</f>
        <v>Nov</v>
      </c>
    </row>
    <row r="48" spans="1:11">
      <c r="A48" s="6">
        <v>1047</v>
      </c>
      <c r="B48" s="6" t="s">
        <v>85</v>
      </c>
      <c r="C48" s="6" t="s">
        <v>47</v>
      </c>
      <c r="D48" s="6" t="s">
        <v>18</v>
      </c>
      <c r="E48" s="6" t="s">
        <v>19</v>
      </c>
      <c r="F48" s="6" t="s">
        <v>15</v>
      </c>
      <c r="G48" s="6">
        <v>2</v>
      </c>
      <c r="H48" s="6">
        <v>4500</v>
      </c>
      <c r="I48" s="6">
        <v>9000</v>
      </c>
      <c r="J48" s="6" t="s">
        <v>16</v>
      </c>
      <c r="K48" s="6" t="str">
        <f>TEXT(Table1[[#This Row],[OrderDate]],"mmm")</f>
        <v>Sep</v>
      </c>
    </row>
    <row r="49" spans="1:11">
      <c r="A49" s="6">
        <v>1048</v>
      </c>
      <c r="B49" s="6" t="s">
        <v>86</v>
      </c>
      <c r="C49" s="6" t="s">
        <v>22</v>
      </c>
      <c r="D49" s="6" t="s">
        <v>23</v>
      </c>
      <c r="E49" s="6" t="s">
        <v>43</v>
      </c>
      <c r="F49" s="6" t="s">
        <v>44</v>
      </c>
      <c r="G49" s="6">
        <v>5</v>
      </c>
      <c r="H49" s="6">
        <v>150</v>
      </c>
      <c r="I49" s="6">
        <v>750</v>
      </c>
      <c r="J49" s="6" t="s">
        <v>20</v>
      </c>
      <c r="K49" s="6" t="str">
        <f>TEXT(Table1[[#This Row],[OrderDate]],"mmm")</f>
        <v>Mar</v>
      </c>
    </row>
    <row r="50" spans="1:11">
      <c r="A50" s="6">
        <v>1049</v>
      </c>
      <c r="B50" s="6" t="s">
        <v>87</v>
      </c>
      <c r="C50" s="6" t="s">
        <v>42</v>
      </c>
      <c r="D50" s="6" t="s">
        <v>30</v>
      </c>
      <c r="E50" s="6" t="s">
        <v>40</v>
      </c>
      <c r="F50" s="6" t="s">
        <v>27</v>
      </c>
      <c r="G50" s="6">
        <v>4</v>
      </c>
      <c r="H50" s="6">
        <v>20000</v>
      </c>
      <c r="I50" s="6">
        <v>80000</v>
      </c>
      <c r="J50" s="6" t="s">
        <v>16</v>
      </c>
      <c r="K50" s="6" t="str">
        <f>TEXT(Table1[[#This Row],[OrderDate]],"mmm")</f>
        <v>Jul</v>
      </c>
    </row>
    <row r="51" spans="1:11">
      <c r="A51" s="6">
        <v>1050</v>
      </c>
      <c r="B51" s="6" t="s">
        <v>88</v>
      </c>
      <c r="C51" s="6" t="s">
        <v>54</v>
      </c>
      <c r="D51" s="6" t="s">
        <v>13</v>
      </c>
      <c r="E51" s="6" t="s">
        <v>33</v>
      </c>
      <c r="F51" s="6" t="s">
        <v>27</v>
      </c>
      <c r="G51" s="6">
        <v>5</v>
      </c>
      <c r="H51" s="6">
        <v>55000</v>
      </c>
      <c r="I51" s="6">
        <v>275000</v>
      </c>
      <c r="J51" s="6" t="s">
        <v>20</v>
      </c>
      <c r="K51" s="6" t="str">
        <f>TEXT(Table1[[#This Row],[OrderDate]],"mmm")</f>
        <v>Sep</v>
      </c>
    </row>
    <row r="52" spans="1:11">
      <c r="A52" s="6">
        <v>1051</v>
      </c>
      <c r="B52" s="6" t="s">
        <v>89</v>
      </c>
      <c r="C52" s="6" t="s">
        <v>29</v>
      </c>
      <c r="D52" s="6" t="s">
        <v>30</v>
      </c>
      <c r="E52" s="6" t="s">
        <v>40</v>
      </c>
      <c r="F52" s="6" t="s">
        <v>27</v>
      </c>
      <c r="G52" s="6">
        <v>1</v>
      </c>
      <c r="H52" s="6">
        <v>20000</v>
      </c>
      <c r="I52" s="6">
        <v>20000</v>
      </c>
      <c r="J52" s="6" t="s">
        <v>20</v>
      </c>
      <c r="K52" s="6" t="str">
        <f>TEXT(Table1[[#This Row],[OrderDate]],"mmm")</f>
        <v>Dec</v>
      </c>
    </row>
    <row r="53" spans="1:11">
      <c r="A53" s="6">
        <v>1052</v>
      </c>
      <c r="B53" s="6" t="s">
        <v>90</v>
      </c>
      <c r="C53" s="6" t="s">
        <v>47</v>
      </c>
      <c r="D53" s="6" t="s">
        <v>18</v>
      </c>
      <c r="E53" s="6" t="s">
        <v>33</v>
      </c>
      <c r="F53" s="6" t="s">
        <v>27</v>
      </c>
      <c r="G53" s="6">
        <v>2</v>
      </c>
      <c r="H53" s="6">
        <v>55000</v>
      </c>
      <c r="I53" s="6">
        <v>110000</v>
      </c>
      <c r="J53" s="6" t="s">
        <v>38</v>
      </c>
      <c r="K53" s="6" t="str">
        <f>TEXT(Table1[[#This Row],[OrderDate]],"mmm")</f>
        <v>Sep</v>
      </c>
    </row>
    <row r="54" spans="1:11">
      <c r="A54" s="6">
        <v>1053</v>
      </c>
      <c r="B54" s="6" t="s">
        <v>76</v>
      </c>
      <c r="C54" s="6" t="s">
        <v>47</v>
      </c>
      <c r="D54" s="6" t="s">
        <v>13</v>
      </c>
      <c r="E54" s="6" t="s">
        <v>43</v>
      </c>
      <c r="F54" s="6" t="s">
        <v>44</v>
      </c>
      <c r="G54" s="6">
        <v>4</v>
      </c>
      <c r="H54" s="6">
        <v>150</v>
      </c>
      <c r="I54" s="6">
        <v>600</v>
      </c>
      <c r="J54" s="6" t="s">
        <v>16</v>
      </c>
      <c r="K54" s="6" t="str">
        <f>TEXT(Table1[[#This Row],[OrderDate]],"mmm")</f>
        <v>Jul</v>
      </c>
    </row>
    <row r="55" spans="1:11">
      <c r="A55" s="6">
        <v>1054</v>
      </c>
      <c r="B55" s="6" t="s">
        <v>91</v>
      </c>
      <c r="C55" s="6" t="s">
        <v>25</v>
      </c>
      <c r="D55" s="6" t="s">
        <v>18</v>
      </c>
      <c r="E55" s="6" t="s">
        <v>33</v>
      </c>
      <c r="F55" s="6" t="s">
        <v>27</v>
      </c>
      <c r="G55" s="6">
        <v>5</v>
      </c>
      <c r="H55" s="6">
        <v>55000</v>
      </c>
      <c r="I55" s="6">
        <v>275000</v>
      </c>
      <c r="J55" s="6" t="s">
        <v>34</v>
      </c>
      <c r="K55" s="6" t="str">
        <f>TEXT(Table1[[#This Row],[OrderDate]],"mmm")</f>
        <v>Oct</v>
      </c>
    </row>
    <row r="56" spans="1:11">
      <c r="A56" s="6">
        <v>1055</v>
      </c>
      <c r="B56" s="6" t="s">
        <v>89</v>
      </c>
      <c r="C56" s="6" t="s">
        <v>29</v>
      </c>
      <c r="D56" s="6" t="s">
        <v>13</v>
      </c>
      <c r="E56" s="6" t="s">
        <v>26</v>
      </c>
      <c r="F56" s="6" t="s">
        <v>27</v>
      </c>
      <c r="G56" s="6">
        <v>2</v>
      </c>
      <c r="H56" s="6">
        <v>15000</v>
      </c>
      <c r="I56" s="6">
        <v>30000</v>
      </c>
      <c r="J56" s="6" t="s">
        <v>20</v>
      </c>
      <c r="K56" s="6" t="str">
        <f>TEXT(Table1[[#This Row],[OrderDate]],"mmm")</f>
        <v>Dec</v>
      </c>
    </row>
    <row r="57" spans="1:11">
      <c r="A57" s="6">
        <v>1056</v>
      </c>
      <c r="B57" s="6" t="s">
        <v>92</v>
      </c>
      <c r="C57" s="6" t="s">
        <v>12</v>
      </c>
      <c r="D57" s="6" t="s">
        <v>13</v>
      </c>
      <c r="E57" s="6" t="s">
        <v>33</v>
      </c>
      <c r="F57" s="6" t="s">
        <v>27</v>
      </c>
      <c r="G57" s="6">
        <v>5</v>
      </c>
      <c r="H57" s="6">
        <v>55000</v>
      </c>
      <c r="I57" s="6">
        <v>275000</v>
      </c>
      <c r="J57" s="6" t="s">
        <v>34</v>
      </c>
      <c r="K57" s="6" t="str">
        <f>TEXT(Table1[[#This Row],[OrderDate]],"mmm")</f>
        <v>Dec</v>
      </c>
    </row>
    <row r="58" spans="1:11">
      <c r="A58" s="6">
        <v>1057</v>
      </c>
      <c r="B58" s="6" t="s">
        <v>84</v>
      </c>
      <c r="C58" s="6" t="s">
        <v>54</v>
      </c>
      <c r="D58" s="6" t="s">
        <v>13</v>
      </c>
      <c r="E58" s="6" t="s">
        <v>19</v>
      </c>
      <c r="F58" s="6" t="s">
        <v>15</v>
      </c>
      <c r="G58" s="6">
        <v>4</v>
      </c>
      <c r="H58" s="6">
        <v>4500</v>
      </c>
      <c r="I58" s="6">
        <v>18000</v>
      </c>
      <c r="J58" s="6" t="s">
        <v>16</v>
      </c>
      <c r="K58" s="6" t="str">
        <f>TEXT(Table1[[#This Row],[OrderDate]],"mmm")</f>
        <v>Nov</v>
      </c>
    </row>
    <row r="59" spans="1:11">
      <c r="A59" s="6">
        <v>1058</v>
      </c>
      <c r="B59" s="6" t="s">
        <v>93</v>
      </c>
      <c r="C59" s="6" t="s">
        <v>12</v>
      </c>
      <c r="D59" s="6" t="s">
        <v>18</v>
      </c>
      <c r="E59" s="6" t="s">
        <v>50</v>
      </c>
      <c r="F59" s="6" t="s">
        <v>51</v>
      </c>
      <c r="G59" s="6">
        <v>1</v>
      </c>
      <c r="H59" s="6">
        <v>2000</v>
      </c>
      <c r="I59" s="6">
        <v>2000</v>
      </c>
      <c r="J59" s="6" t="s">
        <v>34</v>
      </c>
      <c r="K59" s="6" t="str">
        <f>TEXT(Table1[[#This Row],[OrderDate]],"mmm")</f>
        <v>Feb</v>
      </c>
    </row>
    <row r="60" spans="1:11">
      <c r="A60" s="6">
        <v>1059</v>
      </c>
      <c r="B60" s="6" t="s">
        <v>65</v>
      </c>
      <c r="C60" s="6" t="s">
        <v>47</v>
      </c>
      <c r="D60" s="6" t="s">
        <v>18</v>
      </c>
      <c r="E60" s="6" t="s">
        <v>50</v>
      </c>
      <c r="F60" s="6" t="s">
        <v>51</v>
      </c>
      <c r="G60" s="6">
        <v>1</v>
      </c>
      <c r="H60" s="6">
        <v>2000</v>
      </c>
      <c r="I60" s="6">
        <v>2000</v>
      </c>
      <c r="J60" s="6" t="s">
        <v>20</v>
      </c>
      <c r="K60" s="6" t="str">
        <f>TEXT(Table1[[#This Row],[OrderDate]],"mmm")</f>
        <v>Jul</v>
      </c>
    </row>
    <row r="61" spans="1:11">
      <c r="A61" s="6">
        <v>1060</v>
      </c>
      <c r="B61" s="6" t="s">
        <v>94</v>
      </c>
      <c r="C61" s="6" t="s">
        <v>12</v>
      </c>
      <c r="D61" s="6" t="s">
        <v>23</v>
      </c>
      <c r="E61" s="6" t="s">
        <v>40</v>
      </c>
      <c r="F61" s="6" t="s">
        <v>27</v>
      </c>
      <c r="G61" s="6">
        <v>5</v>
      </c>
      <c r="H61" s="6">
        <v>20000</v>
      </c>
      <c r="I61" s="6">
        <v>100000</v>
      </c>
      <c r="J61" s="6" t="s">
        <v>16</v>
      </c>
      <c r="K61" s="6" t="str">
        <f>TEXT(Table1[[#This Row],[OrderDate]],"mmm")</f>
        <v>May</v>
      </c>
    </row>
    <row r="62" spans="1:11">
      <c r="A62" s="6">
        <v>1061</v>
      </c>
      <c r="B62" s="6" t="s">
        <v>95</v>
      </c>
      <c r="C62" s="6" t="s">
        <v>47</v>
      </c>
      <c r="D62" s="6" t="s">
        <v>18</v>
      </c>
      <c r="E62" s="6" t="s">
        <v>57</v>
      </c>
      <c r="F62" s="6" t="s">
        <v>44</v>
      </c>
      <c r="G62" s="6">
        <v>1</v>
      </c>
      <c r="H62" s="6">
        <v>20</v>
      </c>
      <c r="I62" s="6">
        <v>20</v>
      </c>
      <c r="J62" s="6" t="s">
        <v>20</v>
      </c>
      <c r="K62" s="6" t="str">
        <f>TEXT(Table1[[#This Row],[OrderDate]],"mmm")</f>
        <v>Oct</v>
      </c>
    </row>
    <row r="63" spans="1:11">
      <c r="A63" s="6">
        <v>1062</v>
      </c>
      <c r="B63" s="6" t="s">
        <v>96</v>
      </c>
      <c r="C63" s="6" t="s">
        <v>25</v>
      </c>
      <c r="D63" s="6" t="s">
        <v>30</v>
      </c>
      <c r="E63" s="6" t="s">
        <v>43</v>
      </c>
      <c r="F63" s="6" t="s">
        <v>44</v>
      </c>
      <c r="G63" s="6">
        <v>1</v>
      </c>
      <c r="H63" s="6">
        <v>150</v>
      </c>
      <c r="I63" s="6">
        <v>150</v>
      </c>
      <c r="J63" s="6" t="s">
        <v>20</v>
      </c>
      <c r="K63" s="6" t="str">
        <f>TEXT(Table1[[#This Row],[OrderDate]],"mmm")</f>
        <v>Sep</v>
      </c>
    </row>
    <row r="64" spans="1:11">
      <c r="A64" s="6">
        <v>1063</v>
      </c>
      <c r="B64" s="6" t="s">
        <v>97</v>
      </c>
      <c r="C64" s="6" t="s">
        <v>71</v>
      </c>
      <c r="D64" s="6" t="s">
        <v>18</v>
      </c>
      <c r="E64" s="6" t="s">
        <v>43</v>
      </c>
      <c r="F64" s="6" t="s">
        <v>44</v>
      </c>
      <c r="G64" s="6">
        <v>4</v>
      </c>
      <c r="H64" s="6">
        <v>150</v>
      </c>
      <c r="I64" s="6">
        <v>600</v>
      </c>
      <c r="J64" s="6" t="s">
        <v>20</v>
      </c>
      <c r="K64" s="6" t="str">
        <f>TEXT(Table1[[#This Row],[OrderDate]],"mmm")</f>
        <v>Sep</v>
      </c>
    </row>
    <row r="65" spans="1:11">
      <c r="A65" s="6">
        <v>1064</v>
      </c>
      <c r="B65" s="6" t="s">
        <v>98</v>
      </c>
      <c r="C65" s="6" t="s">
        <v>60</v>
      </c>
      <c r="D65" s="6" t="s">
        <v>13</v>
      </c>
      <c r="E65" s="6" t="s">
        <v>50</v>
      </c>
      <c r="F65" s="6" t="s">
        <v>51</v>
      </c>
      <c r="G65" s="6">
        <v>5</v>
      </c>
      <c r="H65" s="6">
        <v>2000</v>
      </c>
      <c r="I65" s="6">
        <v>10000</v>
      </c>
      <c r="J65" s="6" t="s">
        <v>34</v>
      </c>
      <c r="K65" s="6" t="str">
        <f>TEXT(Table1[[#This Row],[OrderDate]],"mmm")</f>
        <v>Nov</v>
      </c>
    </row>
    <row r="66" spans="1:11">
      <c r="A66" s="6">
        <v>1065</v>
      </c>
      <c r="B66" s="6" t="s">
        <v>99</v>
      </c>
      <c r="C66" s="6" t="s">
        <v>29</v>
      </c>
      <c r="D66" s="6" t="s">
        <v>23</v>
      </c>
      <c r="E66" s="6" t="s">
        <v>40</v>
      </c>
      <c r="F66" s="6" t="s">
        <v>27</v>
      </c>
      <c r="G66" s="6">
        <v>2</v>
      </c>
      <c r="H66" s="6">
        <v>20000</v>
      </c>
      <c r="I66" s="6">
        <v>40000</v>
      </c>
      <c r="J66" s="6" t="s">
        <v>20</v>
      </c>
      <c r="K66" s="6" t="str">
        <f>TEXT(Table1[[#This Row],[OrderDate]],"mmm")</f>
        <v>Sep</v>
      </c>
    </row>
    <row r="67" spans="1:11">
      <c r="A67" s="6">
        <v>1066</v>
      </c>
      <c r="B67" s="6" t="s">
        <v>100</v>
      </c>
      <c r="C67" s="6" t="s">
        <v>54</v>
      </c>
      <c r="D67" s="6" t="s">
        <v>13</v>
      </c>
      <c r="E67" s="6" t="s">
        <v>33</v>
      </c>
      <c r="F67" s="6" t="s">
        <v>27</v>
      </c>
      <c r="G67" s="6">
        <v>2</v>
      </c>
      <c r="H67" s="6">
        <v>55000</v>
      </c>
      <c r="I67" s="6">
        <v>110000</v>
      </c>
      <c r="J67" s="6" t="s">
        <v>38</v>
      </c>
      <c r="K67" s="6" t="str">
        <f>TEXT(Table1[[#This Row],[OrderDate]],"mmm")</f>
        <v>Mar</v>
      </c>
    </row>
    <row r="68" spans="1:11">
      <c r="A68" s="6">
        <v>1067</v>
      </c>
      <c r="B68" s="6" t="s">
        <v>101</v>
      </c>
      <c r="C68" s="6" t="s">
        <v>71</v>
      </c>
      <c r="D68" s="6" t="s">
        <v>13</v>
      </c>
      <c r="E68" s="6" t="s">
        <v>43</v>
      </c>
      <c r="F68" s="6" t="s">
        <v>44</v>
      </c>
      <c r="G68" s="6">
        <v>5</v>
      </c>
      <c r="H68" s="6">
        <v>150</v>
      </c>
      <c r="I68" s="6">
        <v>750</v>
      </c>
      <c r="J68" s="6" t="s">
        <v>34</v>
      </c>
      <c r="K68" s="6" t="str">
        <f>TEXT(Table1[[#This Row],[OrderDate]],"mmm")</f>
        <v>Mar</v>
      </c>
    </row>
    <row r="69" spans="1:11">
      <c r="A69" s="6">
        <v>1068</v>
      </c>
      <c r="B69" s="6" t="s">
        <v>102</v>
      </c>
      <c r="C69" s="6" t="s">
        <v>54</v>
      </c>
      <c r="D69" s="6" t="s">
        <v>30</v>
      </c>
      <c r="E69" s="6" t="s">
        <v>50</v>
      </c>
      <c r="F69" s="6" t="s">
        <v>51</v>
      </c>
      <c r="G69" s="6">
        <v>5</v>
      </c>
      <c r="H69" s="6">
        <v>2000</v>
      </c>
      <c r="I69" s="6">
        <v>10000</v>
      </c>
      <c r="J69" s="6" t="s">
        <v>34</v>
      </c>
      <c r="K69" s="6" t="str">
        <f>TEXT(Table1[[#This Row],[OrderDate]],"mmm")</f>
        <v>Jan</v>
      </c>
    </row>
    <row r="70" spans="1:11">
      <c r="A70" s="6">
        <v>1069</v>
      </c>
      <c r="B70" s="6" t="s">
        <v>103</v>
      </c>
      <c r="C70" s="6" t="s">
        <v>32</v>
      </c>
      <c r="D70" s="6" t="s">
        <v>13</v>
      </c>
      <c r="E70" s="6" t="s">
        <v>33</v>
      </c>
      <c r="F70" s="6" t="s">
        <v>27</v>
      </c>
      <c r="G70" s="6">
        <v>2</v>
      </c>
      <c r="H70" s="6">
        <v>55000</v>
      </c>
      <c r="I70" s="6">
        <v>110000</v>
      </c>
      <c r="J70" s="6" t="s">
        <v>38</v>
      </c>
      <c r="K70" s="6" t="str">
        <f>TEXT(Table1[[#This Row],[OrderDate]],"mmm")</f>
        <v>Oct</v>
      </c>
    </row>
    <row r="71" spans="1:11">
      <c r="A71" s="6">
        <v>1070</v>
      </c>
      <c r="B71" s="6" t="s">
        <v>104</v>
      </c>
      <c r="C71" s="6" t="s">
        <v>22</v>
      </c>
      <c r="D71" s="6" t="s">
        <v>30</v>
      </c>
      <c r="E71" s="6" t="s">
        <v>57</v>
      </c>
      <c r="F71" s="6" t="s">
        <v>44</v>
      </c>
      <c r="G71" s="6">
        <v>1</v>
      </c>
      <c r="H71" s="6">
        <v>20</v>
      </c>
      <c r="I71" s="6">
        <v>20</v>
      </c>
      <c r="J71" s="6" t="s">
        <v>34</v>
      </c>
      <c r="K71" s="6" t="str">
        <f>TEXT(Table1[[#This Row],[OrderDate]],"mmm")</f>
        <v>Dec</v>
      </c>
    </row>
    <row r="72" spans="1:11">
      <c r="A72" s="6">
        <v>1071</v>
      </c>
      <c r="B72" s="6" t="s">
        <v>105</v>
      </c>
      <c r="C72" s="6" t="s">
        <v>54</v>
      </c>
      <c r="D72" s="6" t="s">
        <v>23</v>
      </c>
      <c r="E72" s="6" t="s">
        <v>50</v>
      </c>
      <c r="F72" s="6" t="s">
        <v>51</v>
      </c>
      <c r="G72" s="6">
        <v>5</v>
      </c>
      <c r="H72" s="6">
        <v>2000</v>
      </c>
      <c r="I72" s="6">
        <v>10000</v>
      </c>
      <c r="J72" s="6" t="s">
        <v>16</v>
      </c>
      <c r="K72" s="6" t="str">
        <f>TEXT(Table1[[#This Row],[OrderDate]],"mmm")</f>
        <v>May</v>
      </c>
    </row>
    <row r="73" spans="1:11">
      <c r="A73" s="6">
        <v>1072</v>
      </c>
      <c r="B73" s="6" t="s">
        <v>106</v>
      </c>
      <c r="C73" s="6" t="s">
        <v>71</v>
      </c>
      <c r="D73" s="6" t="s">
        <v>13</v>
      </c>
      <c r="E73" s="6" t="s">
        <v>57</v>
      </c>
      <c r="F73" s="6" t="s">
        <v>44</v>
      </c>
      <c r="G73" s="6">
        <v>3</v>
      </c>
      <c r="H73" s="6">
        <v>20</v>
      </c>
      <c r="I73" s="6">
        <v>60</v>
      </c>
      <c r="J73" s="6" t="s">
        <v>38</v>
      </c>
      <c r="K73" s="6" t="str">
        <f>TEXT(Table1[[#This Row],[OrderDate]],"mmm")</f>
        <v>Feb</v>
      </c>
    </row>
    <row r="74" spans="1:11">
      <c r="A74" s="6">
        <v>1073</v>
      </c>
      <c r="B74" s="6" t="s">
        <v>107</v>
      </c>
      <c r="C74" s="6" t="s">
        <v>71</v>
      </c>
      <c r="D74" s="6" t="s">
        <v>23</v>
      </c>
      <c r="E74" s="6" t="s">
        <v>33</v>
      </c>
      <c r="F74" s="6" t="s">
        <v>27</v>
      </c>
      <c r="G74" s="6">
        <v>1</v>
      </c>
      <c r="H74" s="6">
        <v>55000</v>
      </c>
      <c r="I74" s="6">
        <v>55000</v>
      </c>
      <c r="J74" s="6" t="s">
        <v>16</v>
      </c>
      <c r="K74" s="6" t="str">
        <f>TEXT(Table1[[#This Row],[OrderDate]],"mmm")</f>
        <v>Mar</v>
      </c>
    </row>
    <row r="75" spans="1:11">
      <c r="A75" s="6">
        <v>1074</v>
      </c>
      <c r="B75" s="6" t="s">
        <v>108</v>
      </c>
      <c r="C75" s="6" t="s">
        <v>12</v>
      </c>
      <c r="D75" s="6" t="s">
        <v>18</v>
      </c>
      <c r="E75" s="6" t="s">
        <v>57</v>
      </c>
      <c r="F75" s="6" t="s">
        <v>44</v>
      </c>
      <c r="G75" s="6">
        <v>3</v>
      </c>
      <c r="H75" s="6">
        <v>20</v>
      </c>
      <c r="I75" s="6">
        <v>60</v>
      </c>
      <c r="J75" s="6" t="s">
        <v>16</v>
      </c>
      <c r="K75" s="6" t="str">
        <f>TEXT(Table1[[#This Row],[OrderDate]],"mmm")</f>
        <v>Jan</v>
      </c>
    </row>
    <row r="76" spans="1:11">
      <c r="A76" s="6">
        <v>1075</v>
      </c>
      <c r="B76" s="6" t="s">
        <v>109</v>
      </c>
      <c r="C76" s="6" t="s">
        <v>47</v>
      </c>
      <c r="D76" s="6" t="s">
        <v>18</v>
      </c>
      <c r="E76" s="6" t="s">
        <v>14</v>
      </c>
      <c r="F76" s="6" t="s">
        <v>15</v>
      </c>
      <c r="G76" s="6">
        <v>4</v>
      </c>
      <c r="H76" s="6">
        <v>8000</v>
      </c>
      <c r="I76" s="6">
        <v>32000</v>
      </c>
      <c r="J76" s="6" t="s">
        <v>38</v>
      </c>
      <c r="K76" s="6" t="str">
        <f>TEXT(Table1[[#This Row],[OrderDate]],"mmm")</f>
        <v>Nov</v>
      </c>
    </row>
    <row r="77" spans="1:11">
      <c r="A77" s="6">
        <v>1076</v>
      </c>
      <c r="B77" s="6" t="s">
        <v>110</v>
      </c>
      <c r="C77" s="6" t="s">
        <v>29</v>
      </c>
      <c r="D77" s="6" t="s">
        <v>30</v>
      </c>
      <c r="E77" s="6" t="s">
        <v>19</v>
      </c>
      <c r="F77" s="6" t="s">
        <v>15</v>
      </c>
      <c r="G77" s="6">
        <v>1</v>
      </c>
      <c r="H77" s="6">
        <v>4500</v>
      </c>
      <c r="I77" s="6">
        <v>4500</v>
      </c>
      <c r="J77" s="6" t="s">
        <v>16</v>
      </c>
      <c r="K77" s="6" t="str">
        <f>TEXT(Table1[[#This Row],[OrderDate]],"mmm")</f>
        <v>May</v>
      </c>
    </row>
    <row r="78" spans="1:11">
      <c r="A78" s="6">
        <v>1077</v>
      </c>
      <c r="B78" s="6" t="s">
        <v>85</v>
      </c>
      <c r="C78" s="6" t="s">
        <v>22</v>
      </c>
      <c r="D78" s="6" t="s">
        <v>13</v>
      </c>
      <c r="E78" s="6" t="s">
        <v>26</v>
      </c>
      <c r="F78" s="6" t="s">
        <v>27</v>
      </c>
      <c r="G78" s="6">
        <v>5</v>
      </c>
      <c r="H78" s="6">
        <v>15000</v>
      </c>
      <c r="I78" s="6">
        <v>75000</v>
      </c>
      <c r="J78" s="6" t="s">
        <v>38</v>
      </c>
      <c r="K78" s="6" t="str">
        <f>TEXT(Table1[[#This Row],[OrderDate]],"mmm")</f>
        <v>Sep</v>
      </c>
    </row>
    <row r="79" spans="1:11">
      <c r="A79" s="6">
        <v>1078</v>
      </c>
      <c r="B79" s="6" t="s">
        <v>111</v>
      </c>
      <c r="C79" s="6" t="s">
        <v>60</v>
      </c>
      <c r="D79" s="6" t="s">
        <v>23</v>
      </c>
      <c r="E79" s="6" t="s">
        <v>57</v>
      </c>
      <c r="F79" s="6" t="s">
        <v>44</v>
      </c>
      <c r="G79" s="6">
        <v>1</v>
      </c>
      <c r="H79" s="6">
        <v>20</v>
      </c>
      <c r="I79" s="6">
        <v>20</v>
      </c>
      <c r="J79" s="6" t="s">
        <v>20</v>
      </c>
      <c r="K79" s="6" t="str">
        <f>TEXT(Table1[[#This Row],[OrderDate]],"mmm")</f>
        <v>Nov</v>
      </c>
    </row>
    <row r="80" spans="1:11">
      <c r="A80" s="6">
        <v>1079</v>
      </c>
      <c r="B80" s="6" t="s">
        <v>112</v>
      </c>
      <c r="C80" s="6" t="s">
        <v>25</v>
      </c>
      <c r="D80" s="6" t="s">
        <v>23</v>
      </c>
      <c r="E80" s="6" t="s">
        <v>40</v>
      </c>
      <c r="F80" s="6" t="s">
        <v>27</v>
      </c>
      <c r="G80" s="6">
        <v>5</v>
      </c>
      <c r="H80" s="6">
        <v>20000</v>
      </c>
      <c r="I80" s="6">
        <v>100000</v>
      </c>
      <c r="J80" s="6" t="s">
        <v>16</v>
      </c>
      <c r="K80" s="6" t="str">
        <f>TEXT(Table1[[#This Row],[OrderDate]],"mmm")</f>
        <v>Feb</v>
      </c>
    </row>
    <row r="81" spans="1:11">
      <c r="A81" s="6">
        <v>1080</v>
      </c>
      <c r="B81" s="6" t="s">
        <v>52</v>
      </c>
      <c r="C81" s="6" t="s">
        <v>54</v>
      </c>
      <c r="D81" s="6" t="s">
        <v>13</v>
      </c>
      <c r="E81" s="6" t="s">
        <v>19</v>
      </c>
      <c r="F81" s="6" t="s">
        <v>15</v>
      </c>
      <c r="G81" s="6">
        <v>4</v>
      </c>
      <c r="H81" s="6">
        <v>4500</v>
      </c>
      <c r="I81" s="6">
        <v>18000</v>
      </c>
      <c r="J81" s="6" t="s">
        <v>16</v>
      </c>
      <c r="K81" s="6" t="str">
        <f>TEXT(Table1[[#This Row],[OrderDate]],"mmm")</f>
        <v>May</v>
      </c>
    </row>
    <row r="82" spans="1:11">
      <c r="A82" s="6">
        <v>1081</v>
      </c>
      <c r="B82" s="6" t="s">
        <v>113</v>
      </c>
      <c r="C82" s="6" t="s">
        <v>29</v>
      </c>
      <c r="D82" s="6" t="s">
        <v>23</v>
      </c>
      <c r="E82" s="6" t="s">
        <v>50</v>
      </c>
      <c r="F82" s="6" t="s">
        <v>51</v>
      </c>
      <c r="G82" s="6">
        <v>4</v>
      </c>
      <c r="H82" s="6">
        <v>2000</v>
      </c>
      <c r="I82" s="6">
        <v>8000</v>
      </c>
      <c r="J82" s="6" t="s">
        <v>34</v>
      </c>
      <c r="K82" s="6" t="str">
        <f>TEXT(Table1[[#This Row],[OrderDate]],"mmm")</f>
        <v>Jul</v>
      </c>
    </row>
    <row r="83" spans="1:11">
      <c r="A83" s="6">
        <v>1082</v>
      </c>
      <c r="B83" s="6" t="s">
        <v>45</v>
      </c>
      <c r="C83" s="6" t="s">
        <v>32</v>
      </c>
      <c r="D83" s="6" t="s">
        <v>13</v>
      </c>
      <c r="E83" s="6" t="s">
        <v>19</v>
      </c>
      <c r="F83" s="6" t="s">
        <v>15</v>
      </c>
      <c r="G83" s="6">
        <v>1</v>
      </c>
      <c r="H83" s="6">
        <v>4500</v>
      </c>
      <c r="I83" s="6">
        <v>4500</v>
      </c>
      <c r="J83" s="6" t="s">
        <v>38</v>
      </c>
      <c r="K83" s="6" t="str">
        <f>TEXT(Table1[[#This Row],[OrderDate]],"mmm")</f>
        <v>Jan</v>
      </c>
    </row>
    <row r="84" spans="1:11">
      <c r="A84" s="6">
        <v>1083</v>
      </c>
      <c r="B84" s="6" t="s">
        <v>114</v>
      </c>
      <c r="C84" s="6" t="s">
        <v>42</v>
      </c>
      <c r="D84" s="6" t="s">
        <v>18</v>
      </c>
      <c r="E84" s="6" t="s">
        <v>43</v>
      </c>
      <c r="F84" s="6" t="s">
        <v>44</v>
      </c>
      <c r="G84" s="6">
        <v>5</v>
      </c>
      <c r="H84" s="6">
        <v>150</v>
      </c>
      <c r="I84" s="6">
        <v>750</v>
      </c>
      <c r="J84" s="6" t="s">
        <v>38</v>
      </c>
      <c r="K84" s="6" t="str">
        <f>TEXT(Table1[[#This Row],[OrderDate]],"mmm")</f>
        <v>Feb</v>
      </c>
    </row>
    <row r="85" spans="1:11">
      <c r="A85" s="6">
        <v>1084</v>
      </c>
      <c r="B85" s="6" t="s">
        <v>86</v>
      </c>
      <c r="C85" s="6" t="s">
        <v>42</v>
      </c>
      <c r="D85" s="6" t="s">
        <v>18</v>
      </c>
      <c r="E85" s="6" t="s">
        <v>40</v>
      </c>
      <c r="F85" s="6" t="s">
        <v>27</v>
      </c>
      <c r="G85" s="6">
        <v>4</v>
      </c>
      <c r="H85" s="6">
        <v>20000</v>
      </c>
      <c r="I85" s="6">
        <v>80000</v>
      </c>
      <c r="J85" s="6" t="s">
        <v>38</v>
      </c>
      <c r="K85" s="6" t="str">
        <f>TEXT(Table1[[#This Row],[OrderDate]],"mmm")</f>
        <v>Mar</v>
      </c>
    </row>
    <row r="86" spans="1:11">
      <c r="A86" s="6">
        <v>1085</v>
      </c>
      <c r="B86" s="6" t="s">
        <v>115</v>
      </c>
      <c r="C86" s="6" t="s">
        <v>54</v>
      </c>
      <c r="D86" s="6" t="s">
        <v>18</v>
      </c>
      <c r="E86" s="6" t="s">
        <v>14</v>
      </c>
      <c r="F86" s="6" t="s">
        <v>15</v>
      </c>
      <c r="G86" s="6">
        <v>1</v>
      </c>
      <c r="H86" s="6">
        <v>8000</v>
      </c>
      <c r="I86" s="6">
        <v>8000</v>
      </c>
      <c r="J86" s="6" t="s">
        <v>38</v>
      </c>
      <c r="K86" s="6" t="str">
        <f>TEXT(Table1[[#This Row],[OrderDate]],"mmm")</f>
        <v>Jan</v>
      </c>
    </row>
    <row r="87" spans="1:11">
      <c r="A87" s="6">
        <v>1086</v>
      </c>
      <c r="B87" s="6" t="s">
        <v>116</v>
      </c>
      <c r="C87" s="6" t="s">
        <v>71</v>
      </c>
      <c r="D87" s="6" t="s">
        <v>23</v>
      </c>
      <c r="E87" s="6" t="s">
        <v>19</v>
      </c>
      <c r="F87" s="6" t="s">
        <v>15</v>
      </c>
      <c r="G87" s="6">
        <v>3</v>
      </c>
      <c r="H87" s="6">
        <v>4500</v>
      </c>
      <c r="I87" s="6">
        <v>13500</v>
      </c>
      <c r="J87" s="6" t="s">
        <v>16</v>
      </c>
      <c r="K87" s="6" t="str">
        <f>TEXT(Table1[[#This Row],[OrderDate]],"mmm")</f>
        <v>Feb</v>
      </c>
    </row>
    <row r="88" spans="1:11">
      <c r="A88" s="6">
        <v>1087</v>
      </c>
      <c r="B88" s="6" t="s">
        <v>117</v>
      </c>
      <c r="C88" s="6" t="s">
        <v>60</v>
      </c>
      <c r="D88" s="6" t="s">
        <v>30</v>
      </c>
      <c r="E88" s="6" t="s">
        <v>14</v>
      </c>
      <c r="F88" s="6" t="s">
        <v>15</v>
      </c>
      <c r="G88" s="6">
        <v>4</v>
      </c>
      <c r="H88" s="6">
        <v>8000</v>
      </c>
      <c r="I88" s="6">
        <v>32000</v>
      </c>
      <c r="J88" s="6" t="s">
        <v>34</v>
      </c>
      <c r="K88" s="6" t="str">
        <f>TEXT(Table1[[#This Row],[OrderDate]],"mmm")</f>
        <v>May</v>
      </c>
    </row>
    <row r="89" spans="1:11">
      <c r="A89" s="6">
        <v>1088</v>
      </c>
      <c r="B89" s="6" t="s">
        <v>118</v>
      </c>
      <c r="C89" s="6" t="s">
        <v>47</v>
      </c>
      <c r="D89" s="6" t="s">
        <v>30</v>
      </c>
      <c r="E89" s="6" t="s">
        <v>19</v>
      </c>
      <c r="F89" s="6" t="s">
        <v>15</v>
      </c>
      <c r="G89" s="6">
        <v>3</v>
      </c>
      <c r="H89" s="6">
        <v>4500</v>
      </c>
      <c r="I89" s="6">
        <v>13500</v>
      </c>
      <c r="J89" s="6" t="s">
        <v>38</v>
      </c>
      <c r="K89" s="6" t="str">
        <f>TEXT(Table1[[#This Row],[OrderDate]],"mmm")</f>
        <v>Jul</v>
      </c>
    </row>
    <row r="90" spans="1:11">
      <c r="A90" s="6">
        <v>1089</v>
      </c>
      <c r="B90" s="6" t="s">
        <v>104</v>
      </c>
      <c r="C90" s="6" t="s">
        <v>54</v>
      </c>
      <c r="D90" s="6" t="s">
        <v>13</v>
      </c>
      <c r="E90" s="6" t="s">
        <v>33</v>
      </c>
      <c r="F90" s="6" t="s">
        <v>27</v>
      </c>
      <c r="G90" s="6">
        <v>2</v>
      </c>
      <c r="H90" s="6">
        <v>55000</v>
      </c>
      <c r="I90" s="6">
        <v>110000</v>
      </c>
      <c r="J90" s="6" t="s">
        <v>34</v>
      </c>
      <c r="K90" s="6" t="str">
        <f>TEXT(Table1[[#This Row],[OrderDate]],"mmm")</f>
        <v>Dec</v>
      </c>
    </row>
    <row r="91" spans="1:11">
      <c r="A91" s="6">
        <v>1090</v>
      </c>
      <c r="B91" s="6" t="s">
        <v>119</v>
      </c>
      <c r="C91" s="6" t="s">
        <v>54</v>
      </c>
      <c r="D91" s="6" t="s">
        <v>30</v>
      </c>
      <c r="E91" s="6" t="s">
        <v>14</v>
      </c>
      <c r="F91" s="6" t="s">
        <v>15</v>
      </c>
      <c r="G91" s="6">
        <v>3</v>
      </c>
      <c r="H91" s="6">
        <v>8000</v>
      </c>
      <c r="I91" s="6">
        <v>24000</v>
      </c>
      <c r="J91" s="6" t="s">
        <v>38</v>
      </c>
      <c r="K91" s="6" t="str">
        <f>TEXT(Table1[[#This Row],[OrderDate]],"mmm")</f>
        <v>Jan</v>
      </c>
    </row>
    <row r="92" spans="1:11">
      <c r="A92" s="6">
        <v>1091</v>
      </c>
      <c r="B92" s="6" t="s">
        <v>120</v>
      </c>
      <c r="C92" s="6" t="s">
        <v>42</v>
      </c>
      <c r="D92" s="6" t="s">
        <v>23</v>
      </c>
      <c r="E92" s="6" t="s">
        <v>19</v>
      </c>
      <c r="F92" s="6" t="s">
        <v>15</v>
      </c>
      <c r="G92" s="6">
        <v>2</v>
      </c>
      <c r="H92" s="6">
        <v>4500</v>
      </c>
      <c r="I92" s="6">
        <v>9000</v>
      </c>
      <c r="J92" s="6" t="s">
        <v>20</v>
      </c>
      <c r="K92" s="6" t="str">
        <f>TEXT(Table1[[#This Row],[OrderDate]],"mmm")</f>
        <v>Aug</v>
      </c>
    </row>
    <row r="93" spans="1:11">
      <c r="A93" s="6">
        <v>1092</v>
      </c>
      <c r="B93" s="6" t="s">
        <v>121</v>
      </c>
      <c r="C93" s="6" t="s">
        <v>22</v>
      </c>
      <c r="D93" s="6" t="s">
        <v>18</v>
      </c>
      <c r="E93" s="6" t="s">
        <v>50</v>
      </c>
      <c r="F93" s="6" t="s">
        <v>51</v>
      </c>
      <c r="G93" s="6">
        <v>1</v>
      </c>
      <c r="H93" s="6">
        <v>2000</v>
      </c>
      <c r="I93" s="6">
        <v>2000</v>
      </c>
      <c r="J93" s="6" t="s">
        <v>34</v>
      </c>
      <c r="K93" s="6" t="str">
        <f>TEXT(Table1[[#This Row],[OrderDate]],"mmm")</f>
        <v>Feb</v>
      </c>
    </row>
    <row r="94" spans="1:11">
      <c r="A94" s="6">
        <v>1093</v>
      </c>
      <c r="B94" s="6" t="s">
        <v>122</v>
      </c>
      <c r="C94" s="6" t="s">
        <v>12</v>
      </c>
      <c r="D94" s="6" t="s">
        <v>13</v>
      </c>
      <c r="E94" s="6" t="s">
        <v>40</v>
      </c>
      <c r="F94" s="6" t="s">
        <v>27</v>
      </c>
      <c r="G94" s="6">
        <v>2</v>
      </c>
      <c r="H94" s="6">
        <v>20000</v>
      </c>
      <c r="I94" s="6">
        <v>40000</v>
      </c>
      <c r="J94" s="6" t="s">
        <v>16</v>
      </c>
      <c r="K94" s="6" t="str">
        <f>TEXT(Table1[[#This Row],[OrderDate]],"mmm")</f>
        <v>Dec</v>
      </c>
    </row>
    <row r="95" spans="1:11">
      <c r="A95" s="6">
        <v>1094</v>
      </c>
      <c r="B95" s="6" t="s">
        <v>123</v>
      </c>
      <c r="C95" s="6" t="s">
        <v>12</v>
      </c>
      <c r="D95" s="6" t="s">
        <v>30</v>
      </c>
      <c r="E95" s="6" t="s">
        <v>40</v>
      </c>
      <c r="F95" s="6" t="s">
        <v>27</v>
      </c>
      <c r="G95" s="6">
        <v>1</v>
      </c>
      <c r="H95" s="6">
        <v>20000</v>
      </c>
      <c r="I95" s="6">
        <v>20000</v>
      </c>
      <c r="J95" s="6" t="s">
        <v>34</v>
      </c>
      <c r="K95" s="6" t="str">
        <f>TEXT(Table1[[#This Row],[OrderDate]],"mmm")</f>
        <v>Jul</v>
      </c>
    </row>
    <row r="96" spans="1:11">
      <c r="A96" s="6">
        <v>1095</v>
      </c>
      <c r="B96" s="6" t="s">
        <v>124</v>
      </c>
      <c r="C96" s="6" t="s">
        <v>42</v>
      </c>
      <c r="D96" s="6" t="s">
        <v>18</v>
      </c>
      <c r="E96" s="6" t="s">
        <v>57</v>
      </c>
      <c r="F96" s="6" t="s">
        <v>44</v>
      </c>
      <c r="G96" s="6">
        <v>1</v>
      </c>
      <c r="H96" s="6">
        <v>20</v>
      </c>
      <c r="I96" s="6">
        <v>20</v>
      </c>
      <c r="J96" s="6" t="s">
        <v>20</v>
      </c>
      <c r="K96" s="6" t="str">
        <f>TEXT(Table1[[#This Row],[OrderDate]],"mmm")</f>
        <v>Jan</v>
      </c>
    </row>
    <row r="97" spans="1:11">
      <c r="A97" s="6">
        <v>1096</v>
      </c>
      <c r="B97" s="6" t="s">
        <v>125</v>
      </c>
      <c r="C97" s="6" t="s">
        <v>25</v>
      </c>
      <c r="D97" s="6" t="s">
        <v>13</v>
      </c>
      <c r="E97" s="6" t="s">
        <v>33</v>
      </c>
      <c r="F97" s="6" t="s">
        <v>27</v>
      </c>
      <c r="G97" s="6">
        <v>3</v>
      </c>
      <c r="H97" s="6">
        <v>55000</v>
      </c>
      <c r="I97" s="6">
        <v>165000</v>
      </c>
      <c r="J97" s="6" t="s">
        <v>16</v>
      </c>
      <c r="K97" s="6" t="str">
        <f>TEXT(Table1[[#This Row],[OrderDate]],"mmm")</f>
        <v>Jul</v>
      </c>
    </row>
    <row r="98" spans="1:11">
      <c r="A98" s="6">
        <v>1097</v>
      </c>
      <c r="B98" s="6" t="s">
        <v>80</v>
      </c>
      <c r="C98" s="6" t="s">
        <v>22</v>
      </c>
      <c r="D98" s="6" t="s">
        <v>30</v>
      </c>
      <c r="E98" s="6" t="s">
        <v>43</v>
      </c>
      <c r="F98" s="6" t="s">
        <v>44</v>
      </c>
      <c r="G98" s="6">
        <v>5</v>
      </c>
      <c r="H98" s="6">
        <v>150</v>
      </c>
      <c r="I98" s="6">
        <v>750</v>
      </c>
      <c r="J98" s="6" t="s">
        <v>16</v>
      </c>
      <c r="K98" s="6" t="str">
        <f>TEXT(Table1[[#This Row],[OrderDate]],"mmm")</f>
        <v>May</v>
      </c>
    </row>
    <row r="99" spans="1:11">
      <c r="A99" s="6">
        <v>1098</v>
      </c>
      <c r="B99" s="6" t="s">
        <v>126</v>
      </c>
      <c r="C99" s="6" t="s">
        <v>54</v>
      </c>
      <c r="D99" s="6" t="s">
        <v>18</v>
      </c>
      <c r="E99" s="6" t="s">
        <v>57</v>
      </c>
      <c r="F99" s="6" t="s">
        <v>44</v>
      </c>
      <c r="G99" s="6">
        <v>4</v>
      </c>
      <c r="H99" s="6">
        <v>20</v>
      </c>
      <c r="I99" s="6">
        <v>80</v>
      </c>
      <c r="J99" s="6" t="s">
        <v>16</v>
      </c>
      <c r="K99" s="6" t="str">
        <f>TEXT(Table1[[#This Row],[OrderDate]],"mmm")</f>
        <v>Jun</v>
      </c>
    </row>
    <row r="100" spans="1:11">
      <c r="A100" s="6">
        <v>1099</v>
      </c>
      <c r="B100" s="6" t="s">
        <v>109</v>
      </c>
      <c r="C100" s="6" t="s">
        <v>29</v>
      </c>
      <c r="D100" s="6" t="s">
        <v>13</v>
      </c>
      <c r="E100" s="6" t="s">
        <v>26</v>
      </c>
      <c r="F100" s="6" t="s">
        <v>27</v>
      </c>
      <c r="G100" s="6">
        <v>5</v>
      </c>
      <c r="H100" s="6">
        <v>15000</v>
      </c>
      <c r="I100" s="6">
        <v>75000</v>
      </c>
      <c r="J100" s="6" t="s">
        <v>16</v>
      </c>
      <c r="K100" s="6" t="str">
        <f>TEXT(Table1[[#This Row],[OrderDate]],"mmm")</f>
        <v>Nov</v>
      </c>
    </row>
    <row r="101" spans="1:11">
      <c r="A101" s="6">
        <v>1100</v>
      </c>
      <c r="B101" s="6" t="s">
        <v>127</v>
      </c>
      <c r="C101" s="6" t="s">
        <v>54</v>
      </c>
      <c r="D101" s="6" t="s">
        <v>13</v>
      </c>
      <c r="E101" s="6" t="s">
        <v>57</v>
      </c>
      <c r="F101" s="6" t="s">
        <v>44</v>
      </c>
      <c r="G101" s="6">
        <v>2</v>
      </c>
      <c r="H101" s="6">
        <v>20</v>
      </c>
      <c r="I101" s="6">
        <v>40</v>
      </c>
      <c r="J101" s="6" t="s">
        <v>38</v>
      </c>
      <c r="K101" s="6" t="str">
        <f>TEXT(Table1[[#This Row],[OrderDate]],"mmm")</f>
        <v>Mar</v>
      </c>
    </row>
    <row r="102" spans="1:11">
      <c r="A102" s="6">
        <v>1101</v>
      </c>
      <c r="B102" s="6" t="s">
        <v>128</v>
      </c>
      <c r="C102" s="6" t="s">
        <v>42</v>
      </c>
      <c r="D102" s="6" t="s">
        <v>23</v>
      </c>
      <c r="E102" s="6" t="s">
        <v>57</v>
      </c>
      <c r="F102" s="6" t="s">
        <v>44</v>
      </c>
      <c r="G102" s="6">
        <v>3</v>
      </c>
      <c r="H102" s="6">
        <v>20</v>
      </c>
      <c r="I102" s="6">
        <v>60</v>
      </c>
      <c r="J102" s="6" t="s">
        <v>16</v>
      </c>
      <c r="K102" s="6" t="str">
        <f>TEXT(Table1[[#This Row],[OrderDate]],"mmm")</f>
        <v>Nov</v>
      </c>
    </row>
    <row r="103" spans="1:11">
      <c r="A103" s="6">
        <v>1102</v>
      </c>
      <c r="B103" s="6" t="s">
        <v>129</v>
      </c>
      <c r="C103" s="6" t="s">
        <v>47</v>
      </c>
      <c r="D103" s="6" t="s">
        <v>13</v>
      </c>
      <c r="E103" s="6" t="s">
        <v>26</v>
      </c>
      <c r="F103" s="6" t="s">
        <v>27</v>
      </c>
      <c r="G103" s="6">
        <v>3</v>
      </c>
      <c r="H103" s="6">
        <v>15000</v>
      </c>
      <c r="I103" s="6">
        <v>45000</v>
      </c>
      <c r="J103" s="6" t="s">
        <v>20</v>
      </c>
      <c r="K103" s="6" t="str">
        <f>TEXT(Table1[[#This Row],[OrderDate]],"mmm")</f>
        <v>Jun</v>
      </c>
    </row>
    <row r="104" spans="1:11">
      <c r="A104" s="6">
        <v>1103</v>
      </c>
      <c r="B104" s="6" t="s">
        <v>127</v>
      </c>
      <c r="C104" s="6" t="s">
        <v>12</v>
      </c>
      <c r="D104" s="6" t="s">
        <v>23</v>
      </c>
      <c r="E104" s="6" t="s">
        <v>19</v>
      </c>
      <c r="F104" s="6" t="s">
        <v>15</v>
      </c>
      <c r="G104" s="6">
        <v>3</v>
      </c>
      <c r="H104" s="6">
        <v>4500</v>
      </c>
      <c r="I104" s="6">
        <v>13500</v>
      </c>
      <c r="J104" s="6" t="s">
        <v>16</v>
      </c>
      <c r="K104" s="6" t="str">
        <f>TEXT(Table1[[#This Row],[OrderDate]],"mmm")</f>
        <v>Mar</v>
      </c>
    </row>
    <row r="105" spans="1:11">
      <c r="A105" s="6">
        <v>1104</v>
      </c>
      <c r="B105" s="6" t="s">
        <v>130</v>
      </c>
      <c r="C105" s="6" t="s">
        <v>54</v>
      </c>
      <c r="D105" s="6" t="s">
        <v>18</v>
      </c>
      <c r="E105" s="6" t="s">
        <v>26</v>
      </c>
      <c r="F105" s="6" t="s">
        <v>27</v>
      </c>
      <c r="G105" s="6">
        <v>5</v>
      </c>
      <c r="H105" s="6">
        <v>15000</v>
      </c>
      <c r="I105" s="6">
        <v>75000</v>
      </c>
      <c r="J105" s="6" t="s">
        <v>16</v>
      </c>
      <c r="K105" s="6" t="str">
        <f>TEXT(Table1[[#This Row],[OrderDate]],"mmm")</f>
        <v>Dec</v>
      </c>
    </row>
    <row r="106" spans="1:11">
      <c r="A106" s="6">
        <v>1105</v>
      </c>
      <c r="B106" s="6" t="s">
        <v>131</v>
      </c>
      <c r="C106" s="6" t="s">
        <v>71</v>
      </c>
      <c r="D106" s="6" t="s">
        <v>13</v>
      </c>
      <c r="E106" s="6" t="s">
        <v>43</v>
      </c>
      <c r="F106" s="6" t="s">
        <v>44</v>
      </c>
      <c r="G106" s="6">
        <v>5</v>
      </c>
      <c r="H106" s="6">
        <v>150</v>
      </c>
      <c r="I106" s="6">
        <v>750</v>
      </c>
      <c r="J106" s="6" t="s">
        <v>20</v>
      </c>
      <c r="K106" s="6" t="str">
        <f>TEXT(Table1[[#This Row],[OrderDate]],"mmm")</f>
        <v>Mar</v>
      </c>
    </row>
    <row r="107" spans="1:11">
      <c r="A107" s="6">
        <v>1106</v>
      </c>
      <c r="B107" s="6" t="s">
        <v>132</v>
      </c>
      <c r="C107" s="6" t="s">
        <v>12</v>
      </c>
      <c r="D107" s="6" t="s">
        <v>18</v>
      </c>
      <c r="E107" s="6" t="s">
        <v>40</v>
      </c>
      <c r="F107" s="6" t="s">
        <v>27</v>
      </c>
      <c r="G107" s="6">
        <v>4</v>
      </c>
      <c r="H107" s="6">
        <v>20000</v>
      </c>
      <c r="I107" s="6">
        <v>80000</v>
      </c>
      <c r="J107" s="6" t="s">
        <v>20</v>
      </c>
      <c r="K107" s="6" t="str">
        <f>TEXT(Table1[[#This Row],[OrderDate]],"mmm")</f>
        <v>Oct</v>
      </c>
    </row>
    <row r="108" spans="1:11">
      <c r="A108" s="6">
        <v>1107</v>
      </c>
      <c r="B108" s="6" t="s">
        <v>133</v>
      </c>
      <c r="C108" s="6" t="s">
        <v>71</v>
      </c>
      <c r="D108" s="6" t="s">
        <v>30</v>
      </c>
      <c r="E108" s="6" t="s">
        <v>19</v>
      </c>
      <c r="F108" s="6" t="s">
        <v>15</v>
      </c>
      <c r="G108" s="6">
        <v>1</v>
      </c>
      <c r="H108" s="6">
        <v>4500</v>
      </c>
      <c r="I108" s="6">
        <v>4500</v>
      </c>
      <c r="J108" s="6" t="s">
        <v>16</v>
      </c>
      <c r="K108" s="6" t="str">
        <f>TEXT(Table1[[#This Row],[OrderDate]],"mmm")</f>
        <v>Jan</v>
      </c>
    </row>
    <row r="109" spans="1:11">
      <c r="A109" s="6">
        <v>1108</v>
      </c>
      <c r="B109" s="6" t="s">
        <v>134</v>
      </c>
      <c r="C109" s="6" t="s">
        <v>25</v>
      </c>
      <c r="D109" s="6" t="s">
        <v>30</v>
      </c>
      <c r="E109" s="6" t="s">
        <v>40</v>
      </c>
      <c r="F109" s="6" t="s">
        <v>27</v>
      </c>
      <c r="G109" s="6">
        <v>5</v>
      </c>
      <c r="H109" s="6">
        <v>20000</v>
      </c>
      <c r="I109" s="6">
        <v>100000</v>
      </c>
      <c r="J109" s="6" t="s">
        <v>38</v>
      </c>
      <c r="K109" s="6" t="str">
        <f>TEXT(Table1[[#This Row],[OrderDate]],"mmm")</f>
        <v>May</v>
      </c>
    </row>
    <row r="110" spans="1:11">
      <c r="A110" s="6">
        <v>1109</v>
      </c>
      <c r="B110" s="6" t="s">
        <v>135</v>
      </c>
      <c r="C110" s="6" t="s">
        <v>22</v>
      </c>
      <c r="D110" s="6" t="s">
        <v>23</v>
      </c>
      <c r="E110" s="6" t="s">
        <v>19</v>
      </c>
      <c r="F110" s="6" t="s">
        <v>15</v>
      </c>
      <c r="G110" s="6">
        <v>4</v>
      </c>
      <c r="H110" s="6">
        <v>4500</v>
      </c>
      <c r="I110" s="6">
        <v>18000</v>
      </c>
      <c r="J110" s="6" t="s">
        <v>34</v>
      </c>
      <c r="K110" s="6" t="str">
        <f>TEXT(Table1[[#This Row],[OrderDate]],"mmm")</f>
        <v>Apr</v>
      </c>
    </row>
    <row r="111" spans="1:11">
      <c r="A111" s="6">
        <v>1110</v>
      </c>
      <c r="B111" s="6" t="s">
        <v>136</v>
      </c>
      <c r="C111" s="6" t="s">
        <v>42</v>
      </c>
      <c r="D111" s="6" t="s">
        <v>23</v>
      </c>
      <c r="E111" s="6" t="s">
        <v>19</v>
      </c>
      <c r="F111" s="6" t="s">
        <v>15</v>
      </c>
      <c r="G111" s="6">
        <v>5</v>
      </c>
      <c r="H111" s="6">
        <v>4500</v>
      </c>
      <c r="I111" s="6">
        <v>22500</v>
      </c>
      <c r="J111" s="6" t="s">
        <v>34</v>
      </c>
      <c r="K111" s="6" t="str">
        <f>TEXT(Table1[[#This Row],[OrderDate]],"mmm")</f>
        <v>Oct</v>
      </c>
    </row>
    <row r="112" spans="1:11">
      <c r="A112" s="6">
        <v>1111</v>
      </c>
      <c r="B112" s="6" t="s">
        <v>137</v>
      </c>
      <c r="C112" s="6" t="s">
        <v>25</v>
      </c>
      <c r="D112" s="6" t="s">
        <v>30</v>
      </c>
      <c r="E112" s="6" t="s">
        <v>40</v>
      </c>
      <c r="F112" s="6" t="s">
        <v>27</v>
      </c>
      <c r="G112" s="6">
        <v>4</v>
      </c>
      <c r="H112" s="6">
        <v>20000</v>
      </c>
      <c r="I112" s="6">
        <v>80000</v>
      </c>
      <c r="J112" s="6" t="s">
        <v>20</v>
      </c>
      <c r="K112" s="6" t="str">
        <f>TEXT(Table1[[#This Row],[OrderDate]],"mmm")</f>
        <v>Oct</v>
      </c>
    </row>
    <row r="113" spans="1:11">
      <c r="A113" s="6">
        <v>1112</v>
      </c>
      <c r="B113" s="6" t="s">
        <v>130</v>
      </c>
      <c r="C113" s="6" t="s">
        <v>60</v>
      </c>
      <c r="D113" s="6" t="s">
        <v>18</v>
      </c>
      <c r="E113" s="6" t="s">
        <v>43</v>
      </c>
      <c r="F113" s="6" t="s">
        <v>44</v>
      </c>
      <c r="G113" s="6">
        <v>4</v>
      </c>
      <c r="H113" s="6">
        <v>150</v>
      </c>
      <c r="I113" s="6">
        <v>600</v>
      </c>
      <c r="J113" s="6" t="s">
        <v>38</v>
      </c>
      <c r="K113" s="6" t="str">
        <f>TEXT(Table1[[#This Row],[OrderDate]],"mmm")</f>
        <v>Dec</v>
      </c>
    </row>
    <row r="114" spans="1:11">
      <c r="A114" s="6">
        <v>1113</v>
      </c>
      <c r="B114" s="6" t="s">
        <v>138</v>
      </c>
      <c r="C114" s="6" t="s">
        <v>25</v>
      </c>
      <c r="D114" s="6" t="s">
        <v>23</v>
      </c>
      <c r="E114" s="6" t="s">
        <v>40</v>
      </c>
      <c r="F114" s="6" t="s">
        <v>27</v>
      </c>
      <c r="G114" s="6">
        <v>2</v>
      </c>
      <c r="H114" s="6">
        <v>20000</v>
      </c>
      <c r="I114" s="6">
        <v>40000</v>
      </c>
      <c r="J114" s="6" t="s">
        <v>20</v>
      </c>
      <c r="K114" s="6" t="str">
        <f>TEXT(Table1[[#This Row],[OrderDate]],"mmm")</f>
        <v>Dec</v>
      </c>
    </row>
    <row r="115" spans="1:11">
      <c r="A115" s="6">
        <v>1114</v>
      </c>
      <c r="B115" s="6" t="s">
        <v>139</v>
      </c>
      <c r="C115" s="6" t="s">
        <v>60</v>
      </c>
      <c r="D115" s="6" t="s">
        <v>13</v>
      </c>
      <c r="E115" s="6" t="s">
        <v>57</v>
      </c>
      <c r="F115" s="6" t="s">
        <v>44</v>
      </c>
      <c r="G115" s="6">
        <v>4</v>
      </c>
      <c r="H115" s="6">
        <v>20</v>
      </c>
      <c r="I115" s="6">
        <v>80</v>
      </c>
      <c r="J115" s="6" t="s">
        <v>38</v>
      </c>
      <c r="K115" s="6" t="str">
        <f>TEXT(Table1[[#This Row],[OrderDate]],"mmm")</f>
        <v>Feb</v>
      </c>
    </row>
    <row r="116" spans="1:11">
      <c r="A116" s="6">
        <v>1115</v>
      </c>
      <c r="B116" s="6" t="s">
        <v>134</v>
      </c>
      <c r="C116" s="6" t="s">
        <v>25</v>
      </c>
      <c r="D116" s="6" t="s">
        <v>13</v>
      </c>
      <c r="E116" s="6" t="s">
        <v>57</v>
      </c>
      <c r="F116" s="6" t="s">
        <v>44</v>
      </c>
      <c r="G116" s="6">
        <v>3</v>
      </c>
      <c r="H116" s="6">
        <v>20</v>
      </c>
      <c r="I116" s="6">
        <v>60</v>
      </c>
      <c r="J116" s="6" t="s">
        <v>38</v>
      </c>
      <c r="K116" s="6" t="str">
        <f>TEXT(Table1[[#This Row],[OrderDate]],"mmm")</f>
        <v>May</v>
      </c>
    </row>
    <row r="117" spans="1:11">
      <c r="A117" s="6">
        <v>1116</v>
      </c>
      <c r="B117" s="6" t="s">
        <v>113</v>
      </c>
      <c r="C117" s="6" t="s">
        <v>47</v>
      </c>
      <c r="D117" s="6" t="s">
        <v>23</v>
      </c>
      <c r="E117" s="6" t="s">
        <v>33</v>
      </c>
      <c r="F117" s="6" t="s">
        <v>27</v>
      </c>
      <c r="G117" s="6">
        <v>4</v>
      </c>
      <c r="H117" s="6">
        <v>55000</v>
      </c>
      <c r="I117" s="6">
        <v>220000</v>
      </c>
      <c r="J117" s="6" t="s">
        <v>38</v>
      </c>
      <c r="K117" s="6" t="str">
        <f>TEXT(Table1[[#This Row],[OrderDate]],"mmm")</f>
        <v>Jul</v>
      </c>
    </row>
    <row r="118" spans="1:11">
      <c r="A118" s="6">
        <v>1117</v>
      </c>
      <c r="B118" s="6" t="s">
        <v>129</v>
      </c>
      <c r="C118" s="6" t="s">
        <v>71</v>
      </c>
      <c r="D118" s="6" t="s">
        <v>23</v>
      </c>
      <c r="E118" s="6" t="s">
        <v>19</v>
      </c>
      <c r="F118" s="6" t="s">
        <v>15</v>
      </c>
      <c r="G118" s="6">
        <v>2</v>
      </c>
      <c r="H118" s="6">
        <v>4500</v>
      </c>
      <c r="I118" s="6">
        <v>9000</v>
      </c>
      <c r="J118" s="6" t="s">
        <v>38</v>
      </c>
      <c r="K118" s="6" t="str">
        <f>TEXT(Table1[[#This Row],[OrderDate]],"mmm")</f>
        <v>Jun</v>
      </c>
    </row>
    <row r="119" spans="1:11">
      <c r="A119" s="6">
        <v>1118</v>
      </c>
      <c r="B119" s="6" t="s">
        <v>136</v>
      </c>
      <c r="C119" s="6" t="s">
        <v>71</v>
      </c>
      <c r="D119" s="6" t="s">
        <v>30</v>
      </c>
      <c r="E119" s="6" t="s">
        <v>57</v>
      </c>
      <c r="F119" s="6" t="s">
        <v>44</v>
      </c>
      <c r="G119" s="6">
        <v>4</v>
      </c>
      <c r="H119" s="6">
        <v>20</v>
      </c>
      <c r="I119" s="6">
        <v>80</v>
      </c>
      <c r="J119" s="6" t="s">
        <v>38</v>
      </c>
      <c r="K119" s="6" t="str">
        <f>TEXT(Table1[[#This Row],[OrderDate]],"mmm")</f>
        <v>Oct</v>
      </c>
    </row>
    <row r="120" spans="1:11">
      <c r="A120" s="6">
        <v>1119</v>
      </c>
      <c r="B120" s="6" t="s">
        <v>140</v>
      </c>
      <c r="C120" s="6" t="s">
        <v>60</v>
      </c>
      <c r="D120" s="6" t="s">
        <v>18</v>
      </c>
      <c r="E120" s="6" t="s">
        <v>33</v>
      </c>
      <c r="F120" s="6" t="s">
        <v>27</v>
      </c>
      <c r="G120" s="6">
        <v>3</v>
      </c>
      <c r="H120" s="6">
        <v>55000</v>
      </c>
      <c r="I120" s="6">
        <v>165000</v>
      </c>
      <c r="J120" s="6" t="s">
        <v>20</v>
      </c>
      <c r="K120" s="6" t="str">
        <f>TEXT(Table1[[#This Row],[OrderDate]],"mmm")</f>
        <v>Jan</v>
      </c>
    </row>
    <row r="121" spans="1:11">
      <c r="A121" s="6">
        <v>1120</v>
      </c>
      <c r="B121" s="6" t="s">
        <v>141</v>
      </c>
      <c r="C121" s="6" t="s">
        <v>60</v>
      </c>
      <c r="D121" s="6" t="s">
        <v>13</v>
      </c>
      <c r="E121" s="6" t="s">
        <v>19</v>
      </c>
      <c r="F121" s="6" t="s">
        <v>15</v>
      </c>
      <c r="G121" s="6">
        <v>4</v>
      </c>
      <c r="H121" s="6">
        <v>4500</v>
      </c>
      <c r="I121" s="6">
        <v>18000</v>
      </c>
      <c r="J121" s="6" t="s">
        <v>38</v>
      </c>
      <c r="K121" s="6" t="str">
        <f>TEXT(Table1[[#This Row],[OrderDate]],"mmm")</f>
        <v>Aug</v>
      </c>
    </row>
    <row r="122" spans="1:11">
      <c r="A122" s="6">
        <v>1121</v>
      </c>
      <c r="B122" s="6" t="s">
        <v>21</v>
      </c>
      <c r="C122" s="6" t="s">
        <v>32</v>
      </c>
      <c r="D122" s="6" t="s">
        <v>30</v>
      </c>
      <c r="E122" s="6" t="s">
        <v>26</v>
      </c>
      <c r="F122" s="6" t="s">
        <v>27</v>
      </c>
      <c r="G122" s="6">
        <v>3</v>
      </c>
      <c r="H122" s="6">
        <v>15000</v>
      </c>
      <c r="I122" s="6">
        <v>45000</v>
      </c>
      <c r="J122" s="6" t="s">
        <v>34</v>
      </c>
      <c r="K122" s="6" t="str">
        <f>TEXT(Table1[[#This Row],[OrderDate]],"mmm")</f>
        <v>Jan</v>
      </c>
    </row>
    <row r="123" spans="1:11">
      <c r="A123" s="6">
        <v>1122</v>
      </c>
      <c r="B123" s="6" t="s">
        <v>142</v>
      </c>
      <c r="C123" s="6" t="s">
        <v>54</v>
      </c>
      <c r="D123" s="6" t="s">
        <v>13</v>
      </c>
      <c r="E123" s="6" t="s">
        <v>50</v>
      </c>
      <c r="F123" s="6" t="s">
        <v>51</v>
      </c>
      <c r="G123" s="6">
        <v>5</v>
      </c>
      <c r="H123" s="6">
        <v>2000</v>
      </c>
      <c r="I123" s="6">
        <v>10000</v>
      </c>
      <c r="J123" s="6" t="s">
        <v>16</v>
      </c>
      <c r="K123" s="6" t="str">
        <f>TEXT(Table1[[#This Row],[OrderDate]],"mmm")</f>
        <v>Feb</v>
      </c>
    </row>
    <row r="124" spans="1:11">
      <c r="A124" s="6">
        <v>1123</v>
      </c>
      <c r="B124" s="6" t="s">
        <v>143</v>
      </c>
      <c r="C124" s="6" t="s">
        <v>54</v>
      </c>
      <c r="D124" s="6" t="s">
        <v>23</v>
      </c>
      <c r="E124" s="6" t="s">
        <v>26</v>
      </c>
      <c r="F124" s="6" t="s">
        <v>27</v>
      </c>
      <c r="G124" s="6">
        <v>5</v>
      </c>
      <c r="H124" s="6">
        <v>15000</v>
      </c>
      <c r="I124" s="6">
        <v>75000</v>
      </c>
      <c r="J124" s="6" t="s">
        <v>38</v>
      </c>
      <c r="K124" s="6" t="str">
        <f>TEXT(Table1[[#This Row],[OrderDate]],"mmm")</f>
        <v>Jul</v>
      </c>
    </row>
    <row r="125" spans="1:11">
      <c r="A125" s="6">
        <v>1124</v>
      </c>
      <c r="B125" s="6" t="s">
        <v>144</v>
      </c>
      <c r="C125" s="6" t="s">
        <v>29</v>
      </c>
      <c r="D125" s="6" t="s">
        <v>13</v>
      </c>
      <c r="E125" s="6" t="s">
        <v>57</v>
      </c>
      <c r="F125" s="6" t="s">
        <v>44</v>
      </c>
      <c r="G125" s="6">
        <v>3</v>
      </c>
      <c r="H125" s="6">
        <v>20</v>
      </c>
      <c r="I125" s="6">
        <v>60</v>
      </c>
      <c r="J125" s="6" t="s">
        <v>16</v>
      </c>
      <c r="K125" s="6" t="str">
        <f>TEXT(Table1[[#This Row],[OrderDate]],"mmm")</f>
        <v>Oct</v>
      </c>
    </row>
    <row r="126" spans="1:11">
      <c r="A126" s="6">
        <v>1125</v>
      </c>
      <c r="B126" s="6" t="s">
        <v>145</v>
      </c>
      <c r="C126" s="6" t="s">
        <v>47</v>
      </c>
      <c r="D126" s="6" t="s">
        <v>18</v>
      </c>
      <c r="E126" s="6" t="s">
        <v>14</v>
      </c>
      <c r="F126" s="6" t="s">
        <v>15</v>
      </c>
      <c r="G126" s="6">
        <v>5</v>
      </c>
      <c r="H126" s="6">
        <v>8000</v>
      </c>
      <c r="I126" s="6">
        <v>40000</v>
      </c>
      <c r="J126" s="6" t="s">
        <v>16</v>
      </c>
      <c r="K126" s="6" t="str">
        <f>TEXT(Table1[[#This Row],[OrderDate]],"mmm")</f>
        <v>Sep</v>
      </c>
    </row>
    <row r="127" spans="1:11">
      <c r="A127" s="6">
        <v>1126</v>
      </c>
      <c r="B127" s="6" t="s">
        <v>146</v>
      </c>
      <c r="C127" s="6" t="s">
        <v>32</v>
      </c>
      <c r="D127" s="6" t="s">
        <v>18</v>
      </c>
      <c r="E127" s="6" t="s">
        <v>26</v>
      </c>
      <c r="F127" s="6" t="s">
        <v>27</v>
      </c>
      <c r="G127" s="6">
        <v>5</v>
      </c>
      <c r="H127" s="6">
        <v>15000</v>
      </c>
      <c r="I127" s="6">
        <v>75000</v>
      </c>
      <c r="J127" s="6" t="s">
        <v>38</v>
      </c>
      <c r="K127" s="6" t="str">
        <f>TEXT(Table1[[#This Row],[OrderDate]],"mmm")</f>
        <v>Mar</v>
      </c>
    </row>
    <row r="128" spans="1:11">
      <c r="A128" s="6">
        <v>1127</v>
      </c>
      <c r="B128" s="6" t="s">
        <v>147</v>
      </c>
      <c r="C128" s="6" t="s">
        <v>71</v>
      </c>
      <c r="D128" s="6" t="s">
        <v>18</v>
      </c>
      <c r="E128" s="6" t="s">
        <v>19</v>
      </c>
      <c r="F128" s="6" t="s">
        <v>15</v>
      </c>
      <c r="G128" s="6">
        <v>5</v>
      </c>
      <c r="H128" s="6">
        <v>4500</v>
      </c>
      <c r="I128" s="6">
        <v>22500</v>
      </c>
      <c r="J128" s="6" t="s">
        <v>38</v>
      </c>
      <c r="K128" s="6" t="str">
        <f>TEXT(Table1[[#This Row],[OrderDate]],"mmm")</f>
        <v>Jan</v>
      </c>
    </row>
    <row r="129" spans="1:11">
      <c r="A129" s="6">
        <v>1128</v>
      </c>
      <c r="B129" s="6" t="s">
        <v>59</v>
      </c>
      <c r="C129" s="6" t="s">
        <v>12</v>
      </c>
      <c r="D129" s="6" t="s">
        <v>23</v>
      </c>
      <c r="E129" s="6" t="s">
        <v>57</v>
      </c>
      <c r="F129" s="6" t="s">
        <v>44</v>
      </c>
      <c r="G129" s="6">
        <v>2</v>
      </c>
      <c r="H129" s="6">
        <v>20</v>
      </c>
      <c r="I129" s="6">
        <v>40</v>
      </c>
      <c r="J129" s="6" t="s">
        <v>34</v>
      </c>
      <c r="K129" s="6" t="str">
        <f>TEXT(Table1[[#This Row],[OrderDate]],"mmm")</f>
        <v>Feb</v>
      </c>
    </row>
    <row r="130" spans="1:11">
      <c r="A130" s="6">
        <v>1129</v>
      </c>
      <c r="B130" s="6" t="s">
        <v>142</v>
      </c>
      <c r="C130" s="6" t="s">
        <v>47</v>
      </c>
      <c r="D130" s="6" t="s">
        <v>30</v>
      </c>
      <c r="E130" s="6" t="s">
        <v>43</v>
      </c>
      <c r="F130" s="6" t="s">
        <v>44</v>
      </c>
      <c r="G130" s="6">
        <v>3</v>
      </c>
      <c r="H130" s="6">
        <v>150</v>
      </c>
      <c r="I130" s="6">
        <v>450</v>
      </c>
      <c r="J130" s="6" t="s">
        <v>34</v>
      </c>
      <c r="K130" s="6" t="str">
        <f>TEXT(Table1[[#This Row],[OrderDate]],"mmm")</f>
        <v>Feb</v>
      </c>
    </row>
    <row r="131" spans="1:11">
      <c r="A131" s="6">
        <v>1130</v>
      </c>
      <c r="B131" s="6" t="s">
        <v>148</v>
      </c>
      <c r="C131" s="6" t="s">
        <v>22</v>
      </c>
      <c r="D131" s="6" t="s">
        <v>23</v>
      </c>
      <c r="E131" s="6" t="s">
        <v>40</v>
      </c>
      <c r="F131" s="6" t="s">
        <v>27</v>
      </c>
      <c r="G131" s="6">
        <v>3</v>
      </c>
      <c r="H131" s="6">
        <v>20000</v>
      </c>
      <c r="I131" s="6">
        <v>60000</v>
      </c>
      <c r="J131" s="6" t="s">
        <v>16</v>
      </c>
      <c r="K131" s="6" t="str">
        <f>TEXT(Table1[[#This Row],[OrderDate]],"mmm")</f>
        <v>May</v>
      </c>
    </row>
    <row r="132" spans="1:11">
      <c r="A132" s="6">
        <v>1131</v>
      </c>
      <c r="B132" s="6" t="s">
        <v>129</v>
      </c>
      <c r="C132" s="6" t="s">
        <v>12</v>
      </c>
      <c r="D132" s="6" t="s">
        <v>13</v>
      </c>
      <c r="E132" s="6" t="s">
        <v>14</v>
      </c>
      <c r="F132" s="6" t="s">
        <v>15</v>
      </c>
      <c r="G132" s="6">
        <v>2</v>
      </c>
      <c r="H132" s="6">
        <v>8000</v>
      </c>
      <c r="I132" s="6">
        <v>16000</v>
      </c>
      <c r="J132" s="6" t="s">
        <v>34</v>
      </c>
      <c r="K132" s="6" t="str">
        <f>TEXT(Table1[[#This Row],[OrderDate]],"mmm")</f>
        <v>Jun</v>
      </c>
    </row>
    <row r="133" spans="1:11">
      <c r="A133" s="6">
        <v>1132</v>
      </c>
      <c r="B133" s="6" t="s">
        <v>149</v>
      </c>
      <c r="C133" s="6" t="s">
        <v>47</v>
      </c>
      <c r="D133" s="6" t="s">
        <v>23</v>
      </c>
      <c r="E133" s="6" t="s">
        <v>26</v>
      </c>
      <c r="F133" s="6" t="s">
        <v>27</v>
      </c>
      <c r="G133" s="6">
        <v>1</v>
      </c>
      <c r="H133" s="6">
        <v>15000</v>
      </c>
      <c r="I133" s="6">
        <v>15000</v>
      </c>
      <c r="J133" s="6" t="s">
        <v>38</v>
      </c>
      <c r="K133" s="6" t="str">
        <f>TEXT(Table1[[#This Row],[OrderDate]],"mmm")</f>
        <v>Oct</v>
      </c>
    </row>
    <row r="134" spans="1:11">
      <c r="A134" s="6">
        <v>1133</v>
      </c>
      <c r="B134" s="6" t="s">
        <v>150</v>
      </c>
      <c r="C134" s="6" t="s">
        <v>12</v>
      </c>
      <c r="D134" s="6" t="s">
        <v>23</v>
      </c>
      <c r="E134" s="6" t="s">
        <v>14</v>
      </c>
      <c r="F134" s="6" t="s">
        <v>15</v>
      </c>
      <c r="G134" s="6">
        <v>5</v>
      </c>
      <c r="H134" s="6">
        <v>8000</v>
      </c>
      <c r="I134" s="6">
        <v>40000</v>
      </c>
      <c r="J134" s="6" t="s">
        <v>34</v>
      </c>
      <c r="K134" s="6" t="str">
        <f>TEXT(Table1[[#This Row],[OrderDate]],"mmm")</f>
        <v>Apr</v>
      </c>
    </row>
    <row r="135" spans="1:11">
      <c r="A135" s="6">
        <v>1134</v>
      </c>
      <c r="B135" s="6" t="s">
        <v>151</v>
      </c>
      <c r="C135" s="6" t="s">
        <v>60</v>
      </c>
      <c r="D135" s="6" t="s">
        <v>30</v>
      </c>
      <c r="E135" s="6" t="s">
        <v>26</v>
      </c>
      <c r="F135" s="6" t="s">
        <v>27</v>
      </c>
      <c r="G135" s="6">
        <v>3</v>
      </c>
      <c r="H135" s="6">
        <v>15000</v>
      </c>
      <c r="I135" s="6">
        <v>45000</v>
      </c>
      <c r="J135" s="6" t="s">
        <v>34</v>
      </c>
      <c r="K135" s="6" t="str">
        <f>TEXT(Table1[[#This Row],[OrderDate]],"mmm")</f>
        <v>Mar</v>
      </c>
    </row>
    <row r="136" spans="1:11">
      <c r="A136" s="6">
        <v>1135</v>
      </c>
      <c r="B136" s="6" t="s">
        <v>68</v>
      </c>
      <c r="C136" s="6" t="s">
        <v>12</v>
      </c>
      <c r="D136" s="6" t="s">
        <v>18</v>
      </c>
      <c r="E136" s="6" t="s">
        <v>26</v>
      </c>
      <c r="F136" s="6" t="s">
        <v>27</v>
      </c>
      <c r="G136" s="6">
        <v>2</v>
      </c>
      <c r="H136" s="6">
        <v>15000</v>
      </c>
      <c r="I136" s="6">
        <v>30000</v>
      </c>
      <c r="J136" s="6" t="s">
        <v>16</v>
      </c>
      <c r="K136" s="6" t="str">
        <f>TEXT(Table1[[#This Row],[OrderDate]],"mmm")</f>
        <v>Apr</v>
      </c>
    </row>
    <row r="137" spans="1:11">
      <c r="A137" s="6">
        <v>1136</v>
      </c>
      <c r="B137" s="6" t="s">
        <v>152</v>
      </c>
      <c r="C137" s="6" t="s">
        <v>47</v>
      </c>
      <c r="D137" s="6" t="s">
        <v>23</v>
      </c>
      <c r="E137" s="6" t="s">
        <v>33</v>
      </c>
      <c r="F137" s="6" t="s">
        <v>27</v>
      </c>
      <c r="G137" s="6">
        <v>3</v>
      </c>
      <c r="H137" s="6">
        <v>55000</v>
      </c>
      <c r="I137" s="6">
        <v>165000</v>
      </c>
      <c r="J137" s="6" t="s">
        <v>16</v>
      </c>
      <c r="K137" s="6" t="str">
        <f>TEXT(Table1[[#This Row],[OrderDate]],"mmm")</f>
        <v>Jun</v>
      </c>
    </row>
    <row r="138" spans="1:11">
      <c r="A138" s="6">
        <v>1137</v>
      </c>
      <c r="B138" s="6" t="s">
        <v>153</v>
      </c>
      <c r="C138" s="6" t="s">
        <v>32</v>
      </c>
      <c r="D138" s="6" t="s">
        <v>18</v>
      </c>
      <c r="E138" s="6" t="s">
        <v>57</v>
      </c>
      <c r="F138" s="6" t="s">
        <v>44</v>
      </c>
      <c r="G138" s="6">
        <v>3</v>
      </c>
      <c r="H138" s="6">
        <v>20</v>
      </c>
      <c r="I138" s="6">
        <v>60</v>
      </c>
      <c r="J138" s="6" t="s">
        <v>34</v>
      </c>
      <c r="K138" s="6" t="str">
        <f>TEXT(Table1[[#This Row],[OrderDate]],"mmm")</f>
        <v>Apr</v>
      </c>
    </row>
    <row r="139" spans="1:11">
      <c r="A139" s="6">
        <v>1138</v>
      </c>
      <c r="B139" s="6" t="s">
        <v>154</v>
      </c>
      <c r="C139" s="6" t="s">
        <v>42</v>
      </c>
      <c r="D139" s="6" t="s">
        <v>30</v>
      </c>
      <c r="E139" s="6" t="s">
        <v>57</v>
      </c>
      <c r="F139" s="6" t="s">
        <v>44</v>
      </c>
      <c r="G139" s="6">
        <v>3</v>
      </c>
      <c r="H139" s="6">
        <v>20</v>
      </c>
      <c r="I139" s="6">
        <v>60</v>
      </c>
      <c r="J139" s="6" t="s">
        <v>38</v>
      </c>
      <c r="K139" s="6" t="str">
        <f>TEXT(Table1[[#This Row],[OrderDate]],"mmm")</f>
        <v>May</v>
      </c>
    </row>
    <row r="140" spans="1:11">
      <c r="A140" s="6">
        <v>1139</v>
      </c>
      <c r="B140" s="6" t="s">
        <v>155</v>
      </c>
      <c r="C140" s="6" t="s">
        <v>25</v>
      </c>
      <c r="D140" s="6" t="s">
        <v>13</v>
      </c>
      <c r="E140" s="6" t="s">
        <v>14</v>
      </c>
      <c r="F140" s="6" t="s">
        <v>15</v>
      </c>
      <c r="G140" s="6">
        <v>3</v>
      </c>
      <c r="H140" s="6">
        <v>8000</v>
      </c>
      <c r="I140" s="6">
        <v>24000</v>
      </c>
      <c r="J140" s="6" t="s">
        <v>38</v>
      </c>
      <c r="K140" s="6" t="str">
        <f>TEXT(Table1[[#This Row],[OrderDate]],"mmm")</f>
        <v>Jul</v>
      </c>
    </row>
    <row r="141" spans="1:11">
      <c r="A141" s="6">
        <v>1140</v>
      </c>
      <c r="B141" s="6" t="s">
        <v>156</v>
      </c>
      <c r="C141" s="6" t="s">
        <v>42</v>
      </c>
      <c r="D141" s="6" t="s">
        <v>23</v>
      </c>
      <c r="E141" s="6" t="s">
        <v>40</v>
      </c>
      <c r="F141" s="6" t="s">
        <v>27</v>
      </c>
      <c r="G141" s="6">
        <v>1</v>
      </c>
      <c r="H141" s="6">
        <v>20000</v>
      </c>
      <c r="I141" s="6">
        <v>20000</v>
      </c>
      <c r="J141" s="6" t="s">
        <v>38</v>
      </c>
      <c r="K141" s="6" t="str">
        <f>TEXT(Table1[[#This Row],[OrderDate]],"mmm")</f>
        <v>Dec</v>
      </c>
    </row>
    <row r="142" spans="1:11">
      <c r="A142" s="6">
        <v>1141</v>
      </c>
      <c r="B142" s="6" t="s">
        <v>149</v>
      </c>
      <c r="C142" s="6" t="s">
        <v>12</v>
      </c>
      <c r="D142" s="6" t="s">
        <v>13</v>
      </c>
      <c r="E142" s="6" t="s">
        <v>57</v>
      </c>
      <c r="F142" s="6" t="s">
        <v>44</v>
      </c>
      <c r="G142" s="6">
        <v>2</v>
      </c>
      <c r="H142" s="6">
        <v>20</v>
      </c>
      <c r="I142" s="6">
        <v>40</v>
      </c>
      <c r="J142" s="6" t="s">
        <v>20</v>
      </c>
      <c r="K142" s="6" t="str">
        <f>TEXT(Table1[[#This Row],[OrderDate]],"mmm")</f>
        <v>Oct</v>
      </c>
    </row>
    <row r="143" spans="1:11">
      <c r="A143" s="6">
        <v>1142</v>
      </c>
      <c r="B143" s="6" t="s">
        <v>101</v>
      </c>
      <c r="C143" s="6" t="s">
        <v>60</v>
      </c>
      <c r="D143" s="6" t="s">
        <v>23</v>
      </c>
      <c r="E143" s="6" t="s">
        <v>40</v>
      </c>
      <c r="F143" s="6" t="s">
        <v>27</v>
      </c>
      <c r="G143" s="6">
        <v>4</v>
      </c>
      <c r="H143" s="6">
        <v>20000</v>
      </c>
      <c r="I143" s="6">
        <v>80000</v>
      </c>
      <c r="J143" s="6" t="s">
        <v>38</v>
      </c>
      <c r="K143" s="6" t="str">
        <f>TEXT(Table1[[#This Row],[OrderDate]],"mmm")</f>
        <v>Mar</v>
      </c>
    </row>
    <row r="144" spans="1:11">
      <c r="A144" s="6">
        <v>1143</v>
      </c>
      <c r="B144" s="6" t="s">
        <v>157</v>
      </c>
      <c r="C144" s="6" t="s">
        <v>47</v>
      </c>
      <c r="D144" s="6" t="s">
        <v>23</v>
      </c>
      <c r="E144" s="6" t="s">
        <v>43</v>
      </c>
      <c r="F144" s="6" t="s">
        <v>44</v>
      </c>
      <c r="G144" s="6">
        <v>4</v>
      </c>
      <c r="H144" s="6">
        <v>150</v>
      </c>
      <c r="I144" s="6">
        <v>600</v>
      </c>
      <c r="J144" s="6" t="s">
        <v>20</v>
      </c>
      <c r="K144" s="6" t="str">
        <f>TEXT(Table1[[#This Row],[OrderDate]],"mmm")</f>
        <v>Dec</v>
      </c>
    </row>
    <row r="145" spans="1:11">
      <c r="A145" s="6">
        <v>1144</v>
      </c>
      <c r="B145" s="6" t="s">
        <v>66</v>
      </c>
      <c r="C145" s="6" t="s">
        <v>22</v>
      </c>
      <c r="D145" s="6" t="s">
        <v>23</v>
      </c>
      <c r="E145" s="6" t="s">
        <v>26</v>
      </c>
      <c r="F145" s="6" t="s">
        <v>27</v>
      </c>
      <c r="G145" s="6">
        <v>5</v>
      </c>
      <c r="H145" s="6">
        <v>15000</v>
      </c>
      <c r="I145" s="6">
        <v>75000</v>
      </c>
      <c r="J145" s="6" t="s">
        <v>20</v>
      </c>
      <c r="K145" s="6" t="str">
        <f>TEXT(Table1[[#This Row],[OrderDate]],"mmm")</f>
        <v>Oct</v>
      </c>
    </row>
    <row r="146" spans="1:11">
      <c r="A146" s="6">
        <v>1145</v>
      </c>
      <c r="B146" s="6" t="s">
        <v>158</v>
      </c>
      <c r="C146" s="6" t="s">
        <v>60</v>
      </c>
      <c r="D146" s="6" t="s">
        <v>30</v>
      </c>
      <c r="E146" s="6" t="s">
        <v>19</v>
      </c>
      <c r="F146" s="6" t="s">
        <v>15</v>
      </c>
      <c r="G146" s="6">
        <v>3</v>
      </c>
      <c r="H146" s="6">
        <v>4500</v>
      </c>
      <c r="I146" s="6">
        <v>13500</v>
      </c>
      <c r="J146" s="6" t="s">
        <v>38</v>
      </c>
      <c r="K146" s="6" t="str">
        <f>TEXT(Table1[[#This Row],[OrderDate]],"mmm")</f>
        <v>Apr</v>
      </c>
    </row>
    <row r="147" spans="1:11">
      <c r="A147" s="6">
        <v>1146</v>
      </c>
      <c r="B147" s="6" t="s">
        <v>134</v>
      </c>
      <c r="C147" s="6" t="s">
        <v>42</v>
      </c>
      <c r="D147" s="6" t="s">
        <v>30</v>
      </c>
      <c r="E147" s="6" t="s">
        <v>33</v>
      </c>
      <c r="F147" s="6" t="s">
        <v>27</v>
      </c>
      <c r="G147" s="6">
        <v>3</v>
      </c>
      <c r="H147" s="6">
        <v>55000</v>
      </c>
      <c r="I147" s="6">
        <v>165000</v>
      </c>
      <c r="J147" s="6" t="s">
        <v>38</v>
      </c>
      <c r="K147" s="6" t="str">
        <f>TEXT(Table1[[#This Row],[OrderDate]],"mmm")</f>
        <v>May</v>
      </c>
    </row>
    <row r="148" spans="1:11">
      <c r="A148" s="6">
        <v>1147</v>
      </c>
      <c r="B148" s="6" t="s">
        <v>159</v>
      </c>
      <c r="C148" s="6" t="s">
        <v>71</v>
      </c>
      <c r="D148" s="6" t="s">
        <v>23</v>
      </c>
      <c r="E148" s="6" t="s">
        <v>43</v>
      </c>
      <c r="F148" s="6" t="s">
        <v>44</v>
      </c>
      <c r="G148" s="6">
        <v>3</v>
      </c>
      <c r="H148" s="6">
        <v>150</v>
      </c>
      <c r="I148" s="6">
        <v>450</v>
      </c>
      <c r="J148" s="6" t="s">
        <v>38</v>
      </c>
      <c r="K148" s="6" t="str">
        <f>TEXT(Table1[[#This Row],[OrderDate]],"mmm")</f>
        <v>Jan</v>
      </c>
    </row>
    <row r="149" spans="1:11">
      <c r="A149" s="6">
        <v>1148</v>
      </c>
      <c r="B149" s="6" t="s">
        <v>160</v>
      </c>
      <c r="C149" s="6" t="s">
        <v>42</v>
      </c>
      <c r="D149" s="6" t="s">
        <v>18</v>
      </c>
      <c r="E149" s="6" t="s">
        <v>50</v>
      </c>
      <c r="F149" s="6" t="s">
        <v>51</v>
      </c>
      <c r="G149" s="6">
        <v>1</v>
      </c>
      <c r="H149" s="6">
        <v>2000</v>
      </c>
      <c r="I149" s="6">
        <v>2000</v>
      </c>
      <c r="J149" s="6" t="s">
        <v>34</v>
      </c>
      <c r="K149" s="6" t="str">
        <f>TEXT(Table1[[#This Row],[OrderDate]],"mmm")</f>
        <v>Jul</v>
      </c>
    </row>
    <row r="150" spans="1:11">
      <c r="A150" s="6">
        <v>1149</v>
      </c>
      <c r="B150" s="6" t="s">
        <v>161</v>
      </c>
      <c r="C150" s="6" t="s">
        <v>42</v>
      </c>
      <c r="D150" s="6" t="s">
        <v>30</v>
      </c>
      <c r="E150" s="6" t="s">
        <v>57</v>
      </c>
      <c r="F150" s="6" t="s">
        <v>44</v>
      </c>
      <c r="G150" s="6">
        <v>3</v>
      </c>
      <c r="H150" s="6">
        <v>20</v>
      </c>
      <c r="I150" s="6">
        <v>60</v>
      </c>
      <c r="J150" s="6" t="s">
        <v>20</v>
      </c>
      <c r="K150" s="6" t="str">
        <f>TEXT(Table1[[#This Row],[OrderDate]],"mmm")</f>
        <v>Mar</v>
      </c>
    </row>
    <row r="151" spans="1:11">
      <c r="A151" s="6">
        <v>1150</v>
      </c>
      <c r="B151" s="6" t="s">
        <v>162</v>
      </c>
      <c r="C151" s="6" t="s">
        <v>47</v>
      </c>
      <c r="D151" s="6" t="s">
        <v>18</v>
      </c>
      <c r="E151" s="6" t="s">
        <v>50</v>
      </c>
      <c r="F151" s="6" t="s">
        <v>51</v>
      </c>
      <c r="G151" s="6">
        <v>5</v>
      </c>
      <c r="H151" s="6">
        <v>2000</v>
      </c>
      <c r="I151" s="6">
        <v>10000</v>
      </c>
      <c r="J151" s="6" t="s">
        <v>16</v>
      </c>
      <c r="K151" s="6" t="str">
        <f>TEXT(Table1[[#This Row],[OrderDate]],"mmm")</f>
        <v>May</v>
      </c>
    </row>
    <row r="152" spans="1:11">
      <c r="A152" s="6">
        <v>1151</v>
      </c>
      <c r="B152" s="6" t="s">
        <v>163</v>
      </c>
      <c r="C152" s="6" t="s">
        <v>22</v>
      </c>
      <c r="D152" s="6" t="s">
        <v>30</v>
      </c>
      <c r="E152" s="6" t="s">
        <v>43</v>
      </c>
      <c r="F152" s="6" t="s">
        <v>44</v>
      </c>
      <c r="G152" s="6">
        <v>1</v>
      </c>
      <c r="H152" s="6">
        <v>150</v>
      </c>
      <c r="I152" s="6">
        <v>150</v>
      </c>
      <c r="J152" s="6" t="s">
        <v>34</v>
      </c>
      <c r="K152" s="6" t="str">
        <f>TEXT(Table1[[#This Row],[OrderDate]],"mmm")</f>
        <v>Apr</v>
      </c>
    </row>
    <row r="153" spans="1:11">
      <c r="A153" s="6">
        <v>1152</v>
      </c>
      <c r="B153" s="6" t="s">
        <v>163</v>
      </c>
      <c r="C153" s="6" t="s">
        <v>47</v>
      </c>
      <c r="D153" s="6" t="s">
        <v>30</v>
      </c>
      <c r="E153" s="6" t="s">
        <v>33</v>
      </c>
      <c r="F153" s="6" t="s">
        <v>27</v>
      </c>
      <c r="G153" s="6">
        <v>5</v>
      </c>
      <c r="H153" s="6">
        <v>55000</v>
      </c>
      <c r="I153" s="6">
        <v>275000</v>
      </c>
      <c r="J153" s="6" t="s">
        <v>34</v>
      </c>
      <c r="K153" s="6" t="str">
        <f>TEXT(Table1[[#This Row],[OrderDate]],"mmm")</f>
        <v>Apr</v>
      </c>
    </row>
    <row r="154" spans="1:11">
      <c r="A154" s="6">
        <v>1153</v>
      </c>
      <c r="B154" s="6" t="s">
        <v>164</v>
      </c>
      <c r="C154" s="6" t="s">
        <v>32</v>
      </c>
      <c r="D154" s="6" t="s">
        <v>18</v>
      </c>
      <c r="E154" s="6" t="s">
        <v>40</v>
      </c>
      <c r="F154" s="6" t="s">
        <v>27</v>
      </c>
      <c r="G154" s="6">
        <v>4</v>
      </c>
      <c r="H154" s="6">
        <v>20000</v>
      </c>
      <c r="I154" s="6">
        <v>80000</v>
      </c>
      <c r="J154" s="6" t="s">
        <v>34</v>
      </c>
      <c r="K154" s="6" t="str">
        <f>TEXT(Table1[[#This Row],[OrderDate]],"mmm")</f>
        <v>May</v>
      </c>
    </row>
    <row r="155" spans="1:11">
      <c r="A155" s="6">
        <v>1154</v>
      </c>
      <c r="B155" s="6" t="s">
        <v>165</v>
      </c>
      <c r="C155" s="6" t="s">
        <v>29</v>
      </c>
      <c r="D155" s="6" t="s">
        <v>30</v>
      </c>
      <c r="E155" s="6" t="s">
        <v>33</v>
      </c>
      <c r="F155" s="6" t="s">
        <v>27</v>
      </c>
      <c r="G155" s="6">
        <v>4</v>
      </c>
      <c r="H155" s="6">
        <v>55000</v>
      </c>
      <c r="I155" s="6">
        <v>220000</v>
      </c>
      <c r="J155" s="6" t="s">
        <v>16</v>
      </c>
      <c r="K155" s="6" t="str">
        <f>TEXT(Table1[[#This Row],[OrderDate]],"mmm")</f>
        <v>Aug</v>
      </c>
    </row>
    <row r="156" spans="1:11">
      <c r="A156" s="6">
        <v>1155</v>
      </c>
      <c r="B156" s="6" t="s">
        <v>136</v>
      </c>
      <c r="C156" s="6" t="s">
        <v>29</v>
      </c>
      <c r="D156" s="6" t="s">
        <v>23</v>
      </c>
      <c r="E156" s="6" t="s">
        <v>50</v>
      </c>
      <c r="F156" s="6" t="s">
        <v>51</v>
      </c>
      <c r="G156" s="6">
        <v>2</v>
      </c>
      <c r="H156" s="6">
        <v>2000</v>
      </c>
      <c r="I156" s="6">
        <v>4000</v>
      </c>
      <c r="J156" s="6" t="s">
        <v>16</v>
      </c>
      <c r="K156" s="6" t="str">
        <f>TEXT(Table1[[#This Row],[OrderDate]],"mmm")</f>
        <v>Oct</v>
      </c>
    </row>
    <row r="157" spans="1:11">
      <c r="A157" s="6">
        <v>1156</v>
      </c>
      <c r="B157" s="6" t="s">
        <v>166</v>
      </c>
      <c r="C157" s="6" t="s">
        <v>42</v>
      </c>
      <c r="D157" s="6" t="s">
        <v>30</v>
      </c>
      <c r="E157" s="6" t="s">
        <v>19</v>
      </c>
      <c r="F157" s="6" t="s">
        <v>15</v>
      </c>
      <c r="G157" s="6">
        <v>5</v>
      </c>
      <c r="H157" s="6">
        <v>4500</v>
      </c>
      <c r="I157" s="6">
        <v>22500</v>
      </c>
      <c r="J157" s="6" t="s">
        <v>34</v>
      </c>
      <c r="K157" s="6" t="str">
        <f>TEXT(Table1[[#This Row],[OrderDate]],"mmm")</f>
        <v>Mar</v>
      </c>
    </row>
    <row r="158" spans="1:11">
      <c r="A158" s="6">
        <v>1157</v>
      </c>
      <c r="B158" s="6" t="s">
        <v>167</v>
      </c>
      <c r="C158" s="6" t="s">
        <v>54</v>
      </c>
      <c r="D158" s="6" t="s">
        <v>23</v>
      </c>
      <c r="E158" s="6" t="s">
        <v>40</v>
      </c>
      <c r="F158" s="6" t="s">
        <v>27</v>
      </c>
      <c r="G158" s="6">
        <v>1</v>
      </c>
      <c r="H158" s="6">
        <v>20000</v>
      </c>
      <c r="I158" s="6">
        <v>20000</v>
      </c>
      <c r="J158" s="6" t="s">
        <v>16</v>
      </c>
      <c r="K158" s="6" t="str">
        <f>TEXT(Table1[[#This Row],[OrderDate]],"mmm")</f>
        <v>Mar</v>
      </c>
    </row>
    <row r="159" spans="1:11">
      <c r="A159" s="6">
        <v>1158</v>
      </c>
      <c r="B159" s="6" t="s">
        <v>168</v>
      </c>
      <c r="C159" s="6" t="s">
        <v>54</v>
      </c>
      <c r="D159" s="6" t="s">
        <v>18</v>
      </c>
      <c r="E159" s="6" t="s">
        <v>40</v>
      </c>
      <c r="F159" s="6" t="s">
        <v>27</v>
      </c>
      <c r="G159" s="6">
        <v>2</v>
      </c>
      <c r="H159" s="6">
        <v>20000</v>
      </c>
      <c r="I159" s="6">
        <v>40000</v>
      </c>
      <c r="J159" s="6" t="s">
        <v>20</v>
      </c>
      <c r="K159" s="6" t="str">
        <f>TEXT(Table1[[#This Row],[OrderDate]],"mmm")</f>
        <v>Mar</v>
      </c>
    </row>
    <row r="160" spans="1:11">
      <c r="A160" s="6">
        <v>1159</v>
      </c>
      <c r="B160" s="6" t="s">
        <v>96</v>
      </c>
      <c r="C160" s="6" t="s">
        <v>12</v>
      </c>
      <c r="D160" s="6" t="s">
        <v>23</v>
      </c>
      <c r="E160" s="6" t="s">
        <v>40</v>
      </c>
      <c r="F160" s="6" t="s">
        <v>27</v>
      </c>
      <c r="G160" s="6">
        <v>4</v>
      </c>
      <c r="H160" s="6">
        <v>20000</v>
      </c>
      <c r="I160" s="6">
        <v>80000</v>
      </c>
      <c r="J160" s="6" t="s">
        <v>20</v>
      </c>
      <c r="K160" s="6" t="str">
        <f>TEXT(Table1[[#This Row],[OrderDate]],"mmm")</f>
        <v>Sep</v>
      </c>
    </row>
    <row r="161" spans="1:11">
      <c r="A161" s="6">
        <v>1160</v>
      </c>
      <c r="B161" s="6" t="s">
        <v>169</v>
      </c>
      <c r="C161" s="6" t="s">
        <v>60</v>
      </c>
      <c r="D161" s="6" t="s">
        <v>13</v>
      </c>
      <c r="E161" s="6" t="s">
        <v>19</v>
      </c>
      <c r="F161" s="6" t="s">
        <v>15</v>
      </c>
      <c r="G161" s="6">
        <v>4</v>
      </c>
      <c r="H161" s="6">
        <v>4500</v>
      </c>
      <c r="I161" s="6">
        <v>18000</v>
      </c>
      <c r="J161" s="6" t="s">
        <v>38</v>
      </c>
      <c r="K161" s="6" t="str">
        <f>TEXT(Table1[[#This Row],[OrderDate]],"mmm")</f>
        <v>Sep</v>
      </c>
    </row>
    <row r="162" spans="1:11">
      <c r="A162" s="6">
        <v>1161</v>
      </c>
      <c r="B162" s="6" t="s">
        <v>61</v>
      </c>
      <c r="C162" s="6" t="s">
        <v>22</v>
      </c>
      <c r="D162" s="6" t="s">
        <v>23</v>
      </c>
      <c r="E162" s="6" t="s">
        <v>57</v>
      </c>
      <c r="F162" s="6" t="s">
        <v>44</v>
      </c>
      <c r="G162" s="6">
        <v>5</v>
      </c>
      <c r="H162" s="6">
        <v>20</v>
      </c>
      <c r="I162" s="6">
        <v>100</v>
      </c>
      <c r="J162" s="6" t="s">
        <v>20</v>
      </c>
      <c r="K162" s="6" t="str">
        <f>TEXT(Table1[[#This Row],[OrderDate]],"mmm")</f>
        <v>Apr</v>
      </c>
    </row>
    <row r="163" spans="1:11">
      <c r="A163" s="6">
        <v>1162</v>
      </c>
      <c r="B163" s="6" t="s">
        <v>170</v>
      </c>
      <c r="C163" s="6" t="s">
        <v>32</v>
      </c>
      <c r="D163" s="6" t="s">
        <v>18</v>
      </c>
      <c r="E163" s="6" t="s">
        <v>19</v>
      </c>
      <c r="F163" s="6" t="s">
        <v>15</v>
      </c>
      <c r="G163" s="6">
        <v>3</v>
      </c>
      <c r="H163" s="6">
        <v>4500</v>
      </c>
      <c r="I163" s="6">
        <v>13500</v>
      </c>
      <c r="J163" s="6" t="s">
        <v>34</v>
      </c>
      <c r="K163" s="6" t="str">
        <f>TEXT(Table1[[#This Row],[OrderDate]],"mmm")</f>
        <v>Dec</v>
      </c>
    </row>
    <row r="164" spans="1:11">
      <c r="A164" s="6">
        <v>1163</v>
      </c>
      <c r="B164" s="6" t="s">
        <v>150</v>
      </c>
      <c r="C164" s="6" t="s">
        <v>29</v>
      </c>
      <c r="D164" s="6" t="s">
        <v>23</v>
      </c>
      <c r="E164" s="6" t="s">
        <v>19</v>
      </c>
      <c r="F164" s="6" t="s">
        <v>15</v>
      </c>
      <c r="G164" s="6">
        <v>5</v>
      </c>
      <c r="H164" s="6">
        <v>4500</v>
      </c>
      <c r="I164" s="6">
        <v>22500</v>
      </c>
      <c r="J164" s="6" t="s">
        <v>34</v>
      </c>
      <c r="K164" s="6" t="str">
        <f>TEXT(Table1[[#This Row],[OrderDate]],"mmm")</f>
        <v>Apr</v>
      </c>
    </row>
    <row r="165" spans="1:11">
      <c r="A165" s="6">
        <v>1164</v>
      </c>
      <c r="B165" s="6" t="s">
        <v>171</v>
      </c>
      <c r="C165" s="6" t="s">
        <v>25</v>
      </c>
      <c r="D165" s="6" t="s">
        <v>30</v>
      </c>
      <c r="E165" s="6" t="s">
        <v>14</v>
      </c>
      <c r="F165" s="6" t="s">
        <v>15</v>
      </c>
      <c r="G165" s="6">
        <v>2</v>
      </c>
      <c r="H165" s="6">
        <v>8000</v>
      </c>
      <c r="I165" s="6">
        <v>16000</v>
      </c>
      <c r="J165" s="6" t="s">
        <v>34</v>
      </c>
      <c r="K165" s="6" t="str">
        <f>TEXT(Table1[[#This Row],[OrderDate]],"mmm")</f>
        <v>Apr</v>
      </c>
    </row>
    <row r="166" spans="1:11">
      <c r="A166" s="6">
        <v>1165</v>
      </c>
      <c r="B166" s="6" t="s">
        <v>157</v>
      </c>
      <c r="C166" s="6" t="s">
        <v>29</v>
      </c>
      <c r="D166" s="6" t="s">
        <v>23</v>
      </c>
      <c r="E166" s="6" t="s">
        <v>26</v>
      </c>
      <c r="F166" s="6" t="s">
        <v>27</v>
      </c>
      <c r="G166" s="6">
        <v>3</v>
      </c>
      <c r="H166" s="6">
        <v>15000</v>
      </c>
      <c r="I166" s="6">
        <v>45000</v>
      </c>
      <c r="J166" s="6" t="s">
        <v>38</v>
      </c>
      <c r="K166" s="6" t="str">
        <f>TEXT(Table1[[#This Row],[OrderDate]],"mmm")</f>
        <v>Dec</v>
      </c>
    </row>
    <row r="167" spans="1:11">
      <c r="A167" s="6">
        <v>1166</v>
      </c>
      <c r="B167" s="6" t="s">
        <v>172</v>
      </c>
      <c r="C167" s="6" t="s">
        <v>60</v>
      </c>
      <c r="D167" s="6" t="s">
        <v>18</v>
      </c>
      <c r="E167" s="6" t="s">
        <v>50</v>
      </c>
      <c r="F167" s="6" t="s">
        <v>51</v>
      </c>
      <c r="G167" s="6">
        <v>5</v>
      </c>
      <c r="H167" s="6">
        <v>2000</v>
      </c>
      <c r="I167" s="6">
        <v>10000</v>
      </c>
      <c r="J167" s="6" t="s">
        <v>16</v>
      </c>
      <c r="K167" s="6" t="str">
        <f>TEXT(Table1[[#This Row],[OrderDate]],"mmm")</f>
        <v>Jun</v>
      </c>
    </row>
    <row r="168" spans="1:11">
      <c r="A168" s="6">
        <v>1167</v>
      </c>
      <c r="B168" s="6" t="s">
        <v>173</v>
      </c>
      <c r="C168" s="6" t="s">
        <v>54</v>
      </c>
      <c r="D168" s="6" t="s">
        <v>13</v>
      </c>
      <c r="E168" s="6" t="s">
        <v>33</v>
      </c>
      <c r="F168" s="6" t="s">
        <v>27</v>
      </c>
      <c r="G168" s="6">
        <v>5</v>
      </c>
      <c r="H168" s="6">
        <v>55000</v>
      </c>
      <c r="I168" s="6">
        <v>275000</v>
      </c>
      <c r="J168" s="6" t="s">
        <v>20</v>
      </c>
      <c r="K168" s="6" t="str">
        <f>TEXT(Table1[[#This Row],[OrderDate]],"mmm")</f>
        <v>Sep</v>
      </c>
    </row>
    <row r="169" spans="1:11">
      <c r="A169" s="6">
        <v>1168</v>
      </c>
      <c r="B169" s="6" t="s">
        <v>174</v>
      </c>
      <c r="C169" s="6" t="s">
        <v>12</v>
      </c>
      <c r="D169" s="6" t="s">
        <v>18</v>
      </c>
      <c r="E169" s="6" t="s">
        <v>33</v>
      </c>
      <c r="F169" s="6" t="s">
        <v>27</v>
      </c>
      <c r="G169" s="6">
        <v>2</v>
      </c>
      <c r="H169" s="6">
        <v>55000</v>
      </c>
      <c r="I169" s="6">
        <v>110000</v>
      </c>
      <c r="J169" s="6" t="s">
        <v>38</v>
      </c>
      <c r="K169" s="6" t="str">
        <f>TEXT(Table1[[#This Row],[OrderDate]],"mmm")</f>
        <v>Dec</v>
      </c>
    </row>
    <row r="170" spans="1:11">
      <c r="A170" s="6">
        <v>1169</v>
      </c>
      <c r="B170" s="6" t="s">
        <v>103</v>
      </c>
      <c r="C170" s="6" t="s">
        <v>22</v>
      </c>
      <c r="D170" s="6" t="s">
        <v>30</v>
      </c>
      <c r="E170" s="6" t="s">
        <v>14</v>
      </c>
      <c r="F170" s="6" t="s">
        <v>15</v>
      </c>
      <c r="G170" s="6">
        <v>3</v>
      </c>
      <c r="H170" s="6">
        <v>8000</v>
      </c>
      <c r="I170" s="6">
        <v>24000</v>
      </c>
      <c r="J170" s="6" t="s">
        <v>38</v>
      </c>
      <c r="K170" s="6" t="str">
        <f>TEXT(Table1[[#This Row],[OrderDate]],"mmm")</f>
        <v>Oct</v>
      </c>
    </row>
    <row r="171" spans="1:11">
      <c r="A171" s="6">
        <v>1170</v>
      </c>
      <c r="B171" s="6" t="s">
        <v>175</v>
      </c>
      <c r="C171" s="6" t="s">
        <v>60</v>
      </c>
      <c r="D171" s="6" t="s">
        <v>23</v>
      </c>
      <c r="E171" s="6" t="s">
        <v>19</v>
      </c>
      <c r="F171" s="6" t="s">
        <v>15</v>
      </c>
      <c r="G171" s="6">
        <v>4</v>
      </c>
      <c r="H171" s="6">
        <v>4500</v>
      </c>
      <c r="I171" s="6">
        <v>18000</v>
      </c>
      <c r="J171" s="6" t="s">
        <v>20</v>
      </c>
      <c r="K171" s="6" t="str">
        <f>TEXT(Table1[[#This Row],[OrderDate]],"mmm")</f>
        <v>Feb</v>
      </c>
    </row>
    <row r="172" spans="1:11">
      <c r="A172" s="6">
        <v>1171</v>
      </c>
      <c r="B172" s="6" t="s">
        <v>176</v>
      </c>
      <c r="C172" s="6" t="s">
        <v>60</v>
      </c>
      <c r="D172" s="6" t="s">
        <v>18</v>
      </c>
      <c r="E172" s="6" t="s">
        <v>43</v>
      </c>
      <c r="F172" s="6" t="s">
        <v>44</v>
      </c>
      <c r="G172" s="6">
        <v>4</v>
      </c>
      <c r="H172" s="6">
        <v>150</v>
      </c>
      <c r="I172" s="6">
        <v>600</v>
      </c>
      <c r="J172" s="6" t="s">
        <v>16</v>
      </c>
      <c r="K172" s="6" t="str">
        <f>TEXT(Table1[[#This Row],[OrderDate]],"mmm")</f>
        <v>Mar</v>
      </c>
    </row>
    <row r="173" spans="1:11">
      <c r="A173" s="6">
        <v>1172</v>
      </c>
      <c r="B173" s="6" t="s">
        <v>11</v>
      </c>
      <c r="C173" s="6" t="s">
        <v>60</v>
      </c>
      <c r="D173" s="6" t="s">
        <v>30</v>
      </c>
      <c r="E173" s="6" t="s">
        <v>14</v>
      </c>
      <c r="F173" s="6" t="s">
        <v>15</v>
      </c>
      <c r="G173" s="6">
        <v>3</v>
      </c>
      <c r="H173" s="6">
        <v>8000</v>
      </c>
      <c r="I173" s="6">
        <v>24000</v>
      </c>
      <c r="J173" s="6" t="s">
        <v>34</v>
      </c>
      <c r="K173" s="6" t="str">
        <f>TEXT(Table1[[#This Row],[OrderDate]],"mmm")</f>
        <v>Jan</v>
      </c>
    </row>
    <row r="174" spans="1:11">
      <c r="A174" s="6">
        <v>1173</v>
      </c>
      <c r="B174" s="6" t="s">
        <v>177</v>
      </c>
      <c r="C174" s="6" t="s">
        <v>22</v>
      </c>
      <c r="D174" s="6" t="s">
        <v>23</v>
      </c>
      <c r="E174" s="6" t="s">
        <v>26</v>
      </c>
      <c r="F174" s="6" t="s">
        <v>27</v>
      </c>
      <c r="G174" s="6">
        <v>5</v>
      </c>
      <c r="H174" s="6">
        <v>15000</v>
      </c>
      <c r="I174" s="6">
        <v>75000</v>
      </c>
      <c r="J174" s="6" t="s">
        <v>34</v>
      </c>
      <c r="K174" s="6" t="str">
        <f>TEXT(Table1[[#This Row],[OrderDate]],"mmm")</f>
        <v>Apr</v>
      </c>
    </row>
    <row r="175" spans="1:11">
      <c r="A175" s="6">
        <v>1174</v>
      </c>
      <c r="B175" s="6" t="s">
        <v>127</v>
      </c>
      <c r="C175" s="6" t="s">
        <v>22</v>
      </c>
      <c r="D175" s="6" t="s">
        <v>23</v>
      </c>
      <c r="E175" s="6" t="s">
        <v>50</v>
      </c>
      <c r="F175" s="6" t="s">
        <v>51</v>
      </c>
      <c r="G175" s="6">
        <v>3</v>
      </c>
      <c r="H175" s="6">
        <v>2000</v>
      </c>
      <c r="I175" s="6">
        <v>6000</v>
      </c>
      <c r="J175" s="6" t="s">
        <v>16</v>
      </c>
      <c r="K175" s="6" t="str">
        <f>TEXT(Table1[[#This Row],[OrderDate]],"mmm")</f>
        <v>Mar</v>
      </c>
    </row>
    <row r="176" spans="1:11">
      <c r="A176" s="6">
        <v>1175</v>
      </c>
      <c r="B176" s="6" t="s">
        <v>178</v>
      </c>
      <c r="C176" s="6" t="s">
        <v>25</v>
      </c>
      <c r="D176" s="6" t="s">
        <v>30</v>
      </c>
      <c r="E176" s="6" t="s">
        <v>43</v>
      </c>
      <c r="F176" s="6" t="s">
        <v>44</v>
      </c>
      <c r="G176" s="6">
        <v>3</v>
      </c>
      <c r="H176" s="6">
        <v>150</v>
      </c>
      <c r="I176" s="6">
        <v>450</v>
      </c>
      <c r="J176" s="6" t="s">
        <v>34</v>
      </c>
      <c r="K176" s="6" t="str">
        <f>TEXT(Table1[[#This Row],[OrderDate]],"mmm")</f>
        <v>Mar</v>
      </c>
    </row>
    <row r="177" spans="1:11">
      <c r="A177" s="6">
        <v>1176</v>
      </c>
      <c r="B177" s="6" t="s">
        <v>179</v>
      </c>
      <c r="C177" s="6" t="s">
        <v>54</v>
      </c>
      <c r="D177" s="6" t="s">
        <v>30</v>
      </c>
      <c r="E177" s="6" t="s">
        <v>57</v>
      </c>
      <c r="F177" s="6" t="s">
        <v>44</v>
      </c>
      <c r="G177" s="6">
        <v>5</v>
      </c>
      <c r="H177" s="6">
        <v>20</v>
      </c>
      <c r="I177" s="6">
        <v>100</v>
      </c>
      <c r="J177" s="6" t="s">
        <v>38</v>
      </c>
      <c r="K177" s="6" t="str">
        <f>TEXT(Table1[[#This Row],[OrderDate]],"mmm")</f>
        <v>Sep</v>
      </c>
    </row>
    <row r="178" spans="1:11">
      <c r="A178" s="6">
        <v>1177</v>
      </c>
      <c r="B178" s="6" t="s">
        <v>180</v>
      </c>
      <c r="C178" s="6" t="s">
        <v>60</v>
      </c>
      <c r="D178" s="6" t="s">
        <v>30</v>
      </c>
      <c r="E178" s="6" t="s">
        <v>33</v>
      </c>
      <c r="F178" s="6" t="s">
        <v>27</v>
      </c>
      <c r="G178" s="6">
        <v>3</v>
      </c>
      <c r="H178" s="6">
        <v>55000</v>
      </c>
      <c r="I178" s="6">
        <v>165000</v>
      </c>
      <c r="J178" s="6" t="s">
        <v>38</v>
      </c>
      <c r="K178" s="6" t="str">
        <f>TEXT(Table1[[#This Row],[OrderDate]],"mmm")</f>
        <v>May</v>
      </c>
    </row>
    <row r="179" spans="1:11">
      <c r="A179" s="6">
        <v>1178</v>
      </c>
      <c r="B179" s="6" t="s">
        <v>181</v>
      </c>
      <c r="C179" s="6" t="s">
        <v>60</v>
      </c>
      <c r="D179" s="6" t="s">
        <v>13</v>
      </c>
      <c r="E179" s="6" t="s">
        <v>43</v>
      </c>
      <c r="F179" s="6" t="s">
        <v>44</v>
      </c>
      <c r="G179" s="6">
        <v>1</v>
      </c>
      <c r="H179" s="6">
        <v>150</v>
      </c>
      <c r="I179" s="6">
        <v>150</v>
      </c>
      <c r="J179" s="6" t="s">
        <v>34</v>
      </c>
      <c r="K179" s="6" t="str">
        <f>TEXT(Table1[[#This Row],[OrderDate]],"mmm")</f>
        <v>Nov</v>
      </c>
    </row>
    <row r="180" spans="1:11">
      <c r="A180" s="6">
        <v>1179</v>
      </c>
      <c r="B180" s="6" t="s">
        <v>182</v>
      </c>
      <c r="C180" s="6" t="s">
        <v>22</v>
      </c>
      <c r="D180" s="6" t="s">
        <v>13</v>
      </c>
      <c r="E180" s="6" t="s">
        <v>57</v>
      </c>
      <c r="F180" s="6" t="s">
        <v>44</v>
      </c>
      <c r="G180" s="6">
        <v>4</v>
      </c>
      <c r="H180" s="6">
        <v>20</v>
      </c>
      <c r="I180" s="6">
        <v>80</v>
      </c>
      <c r="J180" s="6" t="s">
        <v>16</v>
      </c>
      <c r="K180" s="6" t="str">
        <f>TEXT(Table1[[#This Row],[OrderDate]],"mmm")</f>
        <v>Jun</v>
      </c>
    </row>
    <row r="181" spans="1:11">
      <c r="A181" s="6">
        <v>1180</v>
      </c>
      <c r="B181" s="6" t="s">
        <v>140</v>
      </c>
      <c r="C181" s="6" t="s">
        <v>32</v>
      </c>
      <c r="D181" s="6" t="s">
        <v>13</v>
      </c>
      <c r="E181" s="6" t="s">
        <v>14</v>
      </c>
      <c r="F181" s="6" t="s">
        <v>15</v>
      </c>
      <c r="G181" s="6">
        <v>5</v>
      </c>
      <c r="H181" s="6">
        <v>8000</v>
      </c>
      <c r="I181" s="6">
        <v>40000</v>
      </c>
      <c r="J181" s="6" t="s">
        <v>20</v>
      </c>
      <c r="K181" s="6" t="str">
        <f>TEXT(Table1[[#This Row],[OrderDate]],"mmm")</f>
        <v>Jan</v>
      </c>
    </row>
    <row r="182" spans="1:11">
      <c r="A182" s="6">
        <v>1181</v>
      </c>
      <c r="B182" s="6" t="s">
        <v>183</v>
      </c>
      <c r="C182" s="6" t="s">
        <v>32</v>
      </c>
      <c r="D182" s="6" t="s">
        <v>23</v>
      </c>
      <c r="E182" s="6" t="s">
        <v>14</v>
      </c>
      <c r="F182" s="6" t="s">
        <v>15</v>
      </c>
      <c r="G182" s="6">
        <v>4</v>
      </c>
      <c r="H182" s="6">
        <v>8000</v>
      </c>
      <c r="I182" s="6">
        <v>32000</v>
      </c>
      <c r="J182" s="6" t="s">
        <v>34</v>
      </c>
      <c r="K182" s="6" t="str">
        <f>TEXT(Table1[[#This Row],[OrderDate]],"mmm")</f>
        <v>Jun</v>
      </c>
    </row>
    <row r="183" spans="1:11">
      <c r="A183" s="6">
        <v>1182</v>
      </c>
      <c r="B183" s="6" t="s">
        <v>142</v>
      </c>
      <c r="C183" s="6" t="s">
        <v>54</v>
      </c>
      <c r="D183" s="6" t="s">
        <v>18</v>
      </c>
      <c r="E183" s="6" t="s">
        <v>57</v>
      </c>
      <c r="F183" s="6" t="s">
        <v>44</v>
      </c>
      <c r="G183" s="6">
        <v>4</v>
      </c>
      <c r="H183" s="6">
        <v>20</v>
      </c>
      <c r="I183" s="6">
        <v>80</v>
      </c>
      <c r="J183" s="6" t="s">
        <v>38</v>
      </c>
      <c r="K183" s="6" t="str">
        <f>TEXT(Table1[[#This Row],[OrderDate]],"mmm")</f>
        <v>Feb</v>
      </c>
    </row>
    <row r="184" spans="1:11">
      <c r="A184" s="6">
        <v>1183</v>
      </c>
      <c r="B184" s="6" t="s">
        <v>184</v>
      </c>
      <c r="C184" s="6" t="s">
        <v>71</v>
      </c>
      <c r="D184" s="6" t="s">
        <v>30</v>
      </c>
      <c r="E184" s="6" t="s">
        <v>19</v>
      </c>
      <c r="F184" s="6" t="s">
        <v>15</v>
      </c>
      <c r="G184" s="6">
        <v>2</v>
      </c>
      <c r="H184" s="6">
        <v>4500</v>
      </c>
      <c r="I184" s="6">
        <v>9000</v>
      </c>
      <c r="J184" s="6" t="s">
        <v>16</v>
      </c>
      <c r="K184" s="6" t="str">
        <f>TEXT(Table1[[#This Row],[OrderDate]],"mmm")</f>
        <v>Jan</v>
      </c>
    </row>
    <row r="185" spans="1:11">
      <c r="A185" s="6">
        <v>1184</v>
      </c>
      <c r="B185" s="6" t="s">
        <v>49</v>
      </c>
      <c r="C185" s="6" t="s">
        <v>71</v>
      </c>
      <c r="D185" s="6" t="s">
        <v>30</v>
      </c>
      <c r="E185" s="6" t="s">
        <v>40</v>
      </c>
      <c r="F185" s="6" t="s">
        <v>27</v>
      </c>
      <c r="G185" s="6">
        <v>3</v>
      </c>
      <c r="H185" s="6">
        <v>20000</v>
      </c>
      <c r="I185" s="6">
        <v>60000</v>
      </c>
      <c r="J185" s="6" t="s">
        <v>16</v>
      </c>
      <c r="K185" s="6" t="str">
        <f>TEXT(Table1[[#This Row],[OrderDate]],"mmm")</f>
        <v>Feb</v>
      </c>
    </row>
    <row r="186" spans="1:11">
      <c r="A186" s="6">
        <v>1185</v>
      </c>
      <c r="B186" s="6" t="s">
        <v>160</v>
      </c>
      <c r="C186" s="6" t="s">
        <v>54</v>
      </c>
      <c r="D186" s="6" t="s">
        <v>23</v>
      </c>
      <c r="E186" s="6" t="s">
        <v>19</v>
      </c>
      <c r="F186" s="6" t="s">
        <v>15</v>
      </c>
      <c r="G186" s="6">
        <v>2</v>
      </c>
      <c r="H186" s="6">
        <v>4500</v>
      </c>
      <c r="I186" s="6">
        <v>9000</v>
      </c>
      <c r="J186" s="6" t="s">
        <v>16</v>
      </c>
      <c r="K186" s="6" t="str">
        <f>TEXT(Table1[[#This Row],[OrderDate]],"mmm")</f>
        <v>Jul</v>
      </c>
    </row>
    <row r="187" spans="1:11">
      <c r="A187" s="6">
        <v>1186</v>
      </c>
      <c r="B187" s="6" t="s">
        <v>46</v>
      </c>
      <c r="C187" s="6" t="s">
        <v>47</v>
      </c>
      <c r="D187" s="6" t="s">
        <v>18</v>
      </c>
      <c r="E187" s="6" t="s">
        <v>57</v>
      </c>
      <c r="F187" s="6" t="s">
        <v>44</v>
      </c>
      <c r="G187" s="6">
        <v>4</v>
      </c>
      <c r="H187" s="6">
        <v>20</v>
      </c>
      <c r="I187" s="6">
        <v>80</v>
      </c>
      <c r="J187" s="6" t="s">
        <v>38</v>
      </c>
      <c r="K187" s="6" t="str">
        <f>TEXT(Table1[[#This Row],[OrderDate]],"mmm")</f>
        <v>Jun</v>
      </c>
    </row>
    <row r="188" spans="1:11">
      <c r="A188" s="6">
        <v>1187</v>
      </c>
      <c r="B188" s="6" t="s">
        <v>185</v>
      </c>
      <c r="C188" s="6" t="s">
        <v>29</v>
      </c>
      <c r="D188" s="6" t="s">
        <v>23</v>
      </c>
      <c r="E188" s="6" t="s">
        <v>40</v>
      </c>
      <c r="F188" s="6" t="s">
        <v>27</v>
      </c>
      <c r="G188" s="6">
        <v>3</v>
      </c>
      <c r="H188" s="6">
        <v>20000</v>
      </c>
      <c r="I188" s="6">
        <v>60000</v>
      </c>
      <c r="J188" s="6" t="s">
        <v>20</v>
      </c>
      <c r="K188" s="6" t="str">
        <f>TEXT(Table1[[#This Row],[OrderDate]],"mmm")</f>
        <v>Jun</v>
      </c>
    </row>
    <row r="189" spans="1:11">
      <c r="A189" s="6">
        <v>1188</v>
      </c>
      <c r="B189" s="6" t="s">
        <v>186</v>
      </c>
      <c r="C189" s="6" t="s">
        <v>29</v>
      </c>
      <c r="D189" s="6" t="s">
        <v>30</v>
      </c>
      <c r="E189" s="6" t="s">
        <v>26</v>
      </c>
      <c r="F189" s="6" t="s">
        <v>27</v>
      </c>
      <c r="G189" s="6">
        <v>3</v>
      </c>
      <c r="H189" s="6">
        <v>15000</v>
      </c>
      <c r="I189" s="6">
        <v>45000</v>
      </c>
      <c r="J189" s="6" t="s">
        <v>16</v>
      </c>
      <c r="K189" s="6" t="str">
        <f>TEXT(Table1[[#This Row],[OrderDate]],"mmm")</f>
        <v>Jun</v>
      </c>
    </row>
    <row r="190" spans="1:11">
      <c r="A190" s="6">
        <v>1189</v>
      </c>
      <c r="B190" s="6" t="s">
        <v>187</v>
      </c>
      <c r="C190" s="6" t="s">
        <v>54</v>
      </c>
      <c r="D190" s="6" t="s">
        <v>30</v>
      </c>
      <c r="E190" s="6" t="s">
        <v>14</v>
      </c>
      <c r="F190" s="6" t="s">
        <v>15</v>
      </c>
      <c r="G190" s="6">
        <v>2</v>
      </c>
      <c r="H190" s="6">
        <v>8000</v>
      </c>
      <c r="I190" s="6">
        <v>16000</v>
      </c>
      <c r="J190" s="6" t="s">
        <v>16</v>
      </c>
      <c r="K190" s="6" t="str">
        <f>TEXT(Table1[[#This Row],[OrderDate]],"mmm")</f>
        <v>Apr</v>
      </c>
    </row>
    <row r="191" spans="1:11">
      <c r="A191" s="6">
        <v>1190</v>
      </c>
      <c r="B191" s="6" t="s">
        <v>104</v>
      </c>
      <c r="C191" s="6" t="s">
        <v>29</v>
      </c>
      <c r="D191" s="6" t="s">
        <v>23</v>
      </c>
      <c r="E191" s="6" t="s">
        <v>40</v>
      </c>
      <c r="F191" s="6" t="s">
        <v>27</v>
      </c>
      <c r="G191" s="6">
        <v>2</v>
      </c>
      <c r="H191" s="6">
        <v>20000</v>
      </c>
      <c r="I191" s="6">
        <v>40000</v>
      </c>
      <c r="J191" s="6" t="s">
        <v>34</v>
      </c>
      <c r="K191" s="6" t="str">
        <f>TEXT(Table1[[#This Row],[OrderDate]],"mmm")</f>
        <v>Dec</v>
      </c>
    </row>
    <row r="192" spans="1:11">
      <c r="A192" s="6">
        <v>1191</v>
      </c>
      <c r="B192" s="6" t="s">
        <v>188</v>
      </c>
      <c r="C192" s="6" t="s">
        <v>25</v>
      </c>
      <c r="D192" s="6" t="s">
        <v>23</v>
      </c>
      <c r="E192" s="6" t="s">
        <v>50</v>
      </c>
      <c r="F192" s="6" t="s">
        <v>51</v>
      </c>
      <c r="G192" s="6">
        <v>1</v>
      </c>
      <c r="H192" s="6">
        <v>2000</v>
      </c>
      <c r="I192" s="6">
        <v>2000</v>
      </c>
      <c r="J192" s="6" t="s">
        <v>20</v>
      </c>
      <c r="K192" s="6" t="str">
        <f>TEXT(Table1[[#This Row],[OrderDate]],"mmm")</f>
        <v>Feb</v>
      </c>
    </row>
    <row r="193" spans="1:11">
      <c r="A193" s="6">
        <v>1192</v>
      </c>
      <c r="B193" s="6" t="s">
        <v>189</v>
      </c>
      <c r="C193" s="6" t="s">
        <v>12</v>
      </c>
      <c r="D193" s="6" t="s">
        <v>23</v>
      </c>
      <c r="E193" s="6" t="s">
        <v>26</v>
      </c>
      <c r="F193" s="6" t="s">
        <v>27</v>
      </c>
      <c r="G193" s="6">
        <v>4</v>
      </c>
      <c r="H193" s="6">
        <v>15000</v>
      </c>
      <c r="I193" s="6">
        <v>60000</v>
      </c>
      <c r="J193" s="6" t="s">
        <v>16</v>
      </c>
      <c r="K193" s="6" t="str">
        <f>TEXT(Table1[[#This Row],[OrderDate]],"mmm")</f>
        <v>Feb</v>
      </c>
    </row>
    <row r="194" spans="1:11">
      <c r="A194" s="6">
        <v>1193</v>
      </c>
      <c r="B194" s="6" t="s">
        <v>190</v>
      </c>
      <c r="C194" s="6" t="s">
        <v>54</v>
      </c>
      <c r="D194" s="6" t="s">
        <v>13</v>
      </c>
      <c r="E194" s="6" t="s">
        <v>50</v>
      </c>
      <c r="F194" s="6" t="s">
        <v>51</v>
      </c>
      <c r="G194" s="6">
        <v>4</v>
      </c>
      <c r="H194" s="6">
        <v>2000</v>
      </c>
      <c r="I194" s="6">
        <v>8000</v>
      </c>
      <c r="J194" s="6" t="s">
        <v>38</v>
      </c>
      <c r="K194" s="6" t="str">
        <f>TEXT(Table1[[#This Row],[OrderDate]],"mmm")</f>
        <v>Apr</v>
      </c>
    </row>
    <row r="195" spans="1:11">
      <c r="A195" s="6">
        <v>1194</v>
      </c>
      <c r="B195" s="6" t="s">
        <v>67</v>
      </c>
      <c r="C195" s="6" t="s">
        <v>29</v>
      </c>
      <c r="D195" s="6" t="s">
        <v>18</v>
      </c>
      <c r="E195" s="6" t="s">
        <v>50</v>
      </c>
      <c r="F195" s="6" t="s">
        <v>51</v>
      </c>
      <c r="G195" s="6">
        <v>2</v>
      </c>
      <c r="H195" s="6">
        <v>2000</v>
      </c>
      <c r="I195" s="6">
        <v>4000</v>
      </c>
      <c r="J195" s="6" t="s">
        <v>16</v>
      </c>
      <c r="K195" s="6" t="str">
        <f>TEXT(Table1[[#This Row],[OrderDate]],"mmm")</f>
        <v>Apr</v>
      </c>
    </row>
    <row r="196" spans="1:11">
      <c r="A196" s="6">
        <v>1195</v>
      </c>
      <c r="B196" s="6" t="s">
        <v>191</v>
      </c>
      <c r="C196" s="6" t="s">
        <v>42</v>
      </c>
      <c r="D196" s="6" t="s">
        <v>13</v>
      </c>
      <c r="E196" s="6" t="s">
        <v>19</v>
      </c>
      <c r="F196" s="6" t="s">
        <v>15</v>
      </c>
      <c r="G196" s="6">
        <v>5</v>
      </c>
      <c r="H196" s="6">
        <v>4500</v>
      </c>
      <c r="I196" s="6">
        <v>22500</v>
      </c>
      <c r="J196" s="6" t="s">
        <v>38</v>
      </c>
      <c r="K196" s="6" t="str">
        <f>TEXT(Table1[[#This Row],[OrderDate]],"mmm")</f>
        <v>Jun</v>
      </c>
    </row>
    <row r="197" spans="1:11">
      <c r="A197" s="6">
        <v>1196</v>
      </c>
      <c r="B197" s="6" t="s">
        <v>122</v>
      </c>
      <c r="C197" s="6" t="s">
        <v>22</v>
      </c>
      <c r="D197" s="6" t="s">
        <v>18</v>
      </c>
      <c r="E197" s="6" t="s">
        <v>40</v>
      </c>
      <c r="F197" s="6" t="s">
        <v>27</v>
      </c>
      <c r="G197" s="6">
        <v>2</v>
      </c>
      <c r="H197" s="6">
        <v>20000</v>
      </c>
      <c r="I197" s="6">
        <v>40000</v>
      </c>
      <c r="J197" s="6" t="s">
        <v>34</v>
      </c>
      <c r="K197" s="6" t="str">
        <f>TEXT(Table1[[#This Row],[OrderDate]],"mmm")</f>
        <v>Dec</v>
      </c>
    </row>
    <row r="198" spans="1:11">
      <c r="A198" s="6">
        <v>1197</v>
      </c>
      <c r="B198" s="6" t="s">
        <v>147</v>
      </c>
      <c r="C198" s="6" t="s">
        <v>60</v>
      </c>
      <c r="D198" s="6" t="s">
        <v>23</v>
      </c>
      <c r="E198" s="6" t="s">
        <v>26</v>
      </c>
      <c r="F198" s="6" t="s">
        <v>27</v>
      </c>
      <c r="G198" s="6">
        <v>4</v>
      </c>
      <c r="H198" s="6">
        <v>15000</v>
      </c>
      <c r="I198" s="6">
        <v>60000</v>
      </c>
      <c r="J198" s="6" t="s">
        <v>20</v>
      </c>
      <c r="K198" s="6" t="str">
        <f>TEXT(Table1[[#This Row],[OrderDate]],"mmm")</f>
        <v>Jan</v>
      </c>
    </row>
    <row r="199" spans="1:11">
      <c r="A199" s="6">
        <v>1198</v>
      </c>
      <c r="B199" s="6" t="s">
        <v>192</v>
      </c>
      <c r="C199" s="6" t="s">
        <v>47</v>
      </c>
      <c r="D199" s="6" t="s">
        <v>23</v>
      </c>
      <c r="E199" s="6" t="s">
        <v>57</v>
      </c>
      <c r="F199" s="6" t="s">
        <v>44</v>
      </c>
      <c r="G199" s="6">
        <v>2</v>
      </c>
      <c r="H199" s="6">
        <v>20</v>
      </c>
      <c r="I199" s="6">
        <v>40</v>
      </c>
      <c r="J199" s="6" t="s">
        <v>16</v>
      </c>
      <c r="K199" s="6" t="str">
        <f>TEXT(Table1[[#This Row],[OrderDate]],"mmm")</f>
        <v>Mar</v>
      </c>
    </row>
    <row r="200" spans="1:11">
      <c r="A200" s="6">
        <v>1199</v>
      </c>
      <c r="B200" s="6" t="s">
        <v>193</v>
      </c>
      <c r="C200" s="6" t="s">
        <v>42</v>
      </c>
      <c r="D200" s="6" t="s">
        <v>18</v>
      </c>
      <c r="E200" s="6" t="s">
        <v>57</v>
      </c>
      <c r="F200" s="6" t="s">
        <v>44</v>
      </c>
      <c r="G200" s="6">
        <v>5</v>
      </c>
      <c r="H200" s="6">
        <v>20</v>
      </c>
      <c r="I200" s="6">
        <v>100</v>
      </c>
      <c r="J200" s="6" t="s">
        <v>20</v>
      </c>
      <c r="K200" s="6" t="str">
        <f>TEXT(Table1[[#This Row],[OrderDate]],"mmm")</f>
        <v>Nov</v>
      </c>
    </row>
    <row r="201" spans="1:11">
      <c r="A201" s="6">
        <v>1200</v>
      </c>
      <c r="B201" s="6" t="s">
        <v>194</v>
      </c>
      <c r="C201" s="6" t="s">
        <v>22</v>
      </c>
      <c r="D201" s="6" t="s">
        <v>30</v>
      </c>
      <c r="E201" s="6" t="s">
        <v>43</v>
      </c>
      <c r="F201" s="6" t="s">
        <v>44</v>
      </c>
      <c r="G201" s="6">
        <v>2</v>
      </c>
      <c r="H201" s="6">
        <v>150</v>
      </c>
      <c r="I201" s="6">
        <v>300</v>
      </c>
      <c r="J201" s="6" t="s">
        <v>34</v>
      </c>
      <c r="K201" s="6" t="str">
        <f>TEXT(Table1[[#This Row],[OrderDate]],"mmm")</f>
        <v>Aug</v>
      </c>
    </row>
    <row r="202" spans="1:11">
      <c r="A202" s="6">
        <v>1201</v>
      </c>
      <c r="B202" s="6" t="s">
        <v>195</v>
      </c>
      <c r="C202" s="6" t="s">
        <v>25</v>
      </c>
      <c r="D202" s="6" t="s">
        <v>30</v>
      </c>
      <c r="E202" s="6" t="s">
        <v>33</v>
      </c>
      <c r="F202" s="6" t="s">
        <v>27</v>
      </c>
      <c r="G202" s="6">
        <v>3</v>
      </c>
      <c r="H202" s="6">
        <v>55000</v>
      </c>
      <c r="I202" s="6">
        <v>165000</v>
      </c>
      <c r="J202" s="6" t="s">
        <v>38</v>
      </c>
      <c r="K202" s="6" t="str">
        <f>TEXT(Table1[[#This Row],[OrderDate]],"mmm")</f>
        <v>Jun</v>
      </c>
    </row>
    <row r="203" spans="1:11">
      <c r="A203" s="6">
        <v>1202</v>
      </c>
      <c r="B203" s="6" t="s">
        <v>196</v>
      </c>
      <c r="C203" s="6" t="s">
        <v>42</v>
      </c>
      <c r="D203" s="6" t="s">
        <v>23</v>
      </c>
      <c r="E203" s="6" t="s">
        <v>14</v>
      </c>
      <c r="F203" s="6" t="s">
        <v>15</v>
      </c>
      <c r="G203" s="6">
        <v>5</v>
      </c>
      <c r="H203" s="6">
        <v>8000</v>
      </c>
      <c r="I203" s="6">
        <v>40000</v>
      </c>
      <c r="J203" s="6" t="s">
        <v>16</v>
      </c>
      <c r="K203" s="6" t="str">
        <f>TEXT(Table1[[#This Row],[OrderDate]],"mmm")</f>
        <v>Sep</v>
      </c>
    </row>
    <row r="204" spans="1:11">
      <c r="A204" s="6">
        <v>1203</v>
      </c>
      <c r="B204" s="6" t="s">
        <v>197</v>
      </c>
      <c r="C204" s="6" t="s">
        <v>22</v>
      </c>
      <c r="D204" s="6" t="s">
        <v>30</v>
      </c>
      <c r="E204" s="6" t="s">
        <v>26</v>
      </c>
      <c r="F204" s="6" t="s">
        <v>27</v>
      </c>
      <c r="G204" s="6">
        <v>3</v>
      </c>
      <c r="H204" s="6">
        <v>15000</v>
      </c>
      <c r="I204" s="6">
        <v>45000</v>
      </c>
      <c r="J204" s="6" t="s">
        <v>16</v>
      </c>
      <c r="K204" s="6" t="str">
        <f>TEXT(Table1[[#This Row],[OrderDate]],"mmm")</f>
        <v>Dec</v>
      </c>
    </row>
    <row r="205" spans="1:11">
      <c r="A205" s="6">
        <v>1204</v>
      </c>
      <c r="B205" s="6" t="s">
        <v>198</v>
      </c>
      <c r="C205" s="6" t="s">
        <v>29</v>
      </c>
      <c r="D205" s="6" t="s">
        <v>30</v>
      </c>
      <c r="E205" s="6" t="s">
        <v>33</v>
      </c>
      <c r="F205" s="6" t="s">
        <v>27</v>
      </c>
      <c r="G205" s="6">
        <v>2</v>
      </c>
      <c r="H205" s="6">
        <v>55000</v>
      </c>
      <c r="I205" s="6">
        <v>110000</v>
      </c>
      <c r="J205" s="6" t="s">
        <v>38</v>
      </c>
      <c r="K205" s="6" t="str">
        <f>TEXT(Table1[[#This Row],[OrderDate]],"mmm")</f>
        <v>Dec</v>
      </c>
    </row>
    <row r="206" spans="1:11">
      <c r="A206" s="6">
        <v>1205</v>
      </c>
      <c r="B206" s="6" t="s">
        <v>131</v>
      </c>
      <c r="C206" s="6" t="s">
        <v>29</v>
      </c>
      <c r="D206" s="6" t="s">
        <v>23</v>
      </c>
      <c r="E206" s="6" t="s">
        <v>14</v>
      </c>
      <c r="F206" s="6" t="s">
        <v>15</v>
      </c>
      <c r="G206" s="6">
        <v>5</v>
      </c>
      <c r="H206" s="6">
        <v>8000</v>
      </c>
      <c r="I206" s="6">
        <v>40000</v>
      </c>
      <c r="J206" s="6" t="s">
        <v>38</v>
      </c>
      <c r="K206" s="6" t="str">
        <f>TEXT(Table1[[#This Row],[OrderDate]],"mmm")</f>
        <v>Mar</v>
      </c>
    </row>
    <row r="207" spans="1:11">
      <c r="A207" s="6">
        <v>1206</v>
      </c>
      <c r="B207" s="6" t="s">
        <v>199</v>
      </c>
      <c r="C207" s="6" t="s">
        <v>22</v>
      </c>
      <c r="D207" s="6" t="s">
        <v>23</v>
      </c>
      <c r="E207" s="6" t="s">
        <v>33</v>
      </c>
      <c r="F207" s="6" t="s">
        <v>27</v>
      </c>
      <c r="G207" s="6">
        <v>2</v>
      </c>
      <c r="H207" s="6">
        <v>55000</v>
      </c>
      <c r="I207" s="6">
        <v>110000</v>
      </c>
      <c r="J207" s="6" t="s">
        <v>20</v>
      </c>
      <c r="K207" s="6" t="str">
        <f>TEXT(Table1[[#This Row],[OrderDate]],"mmm")</f>
        <v>Aug</v>
      </c>
    </row>
    <row r="208" spans="1:11">
      <c r="A208" s="6">
        <v>1207</v>
      </c>
      <c r="B208" s="6" t="s">
        <v>200</v>
      </c>
      <c r="C208" s="6" t="s">
        <v>22</v>
      </c>
      <c r="D208" s="6" t="s">
        <v>30</v>
      </c>
      <c r="E208" s="6" t="s">
        <v>40</v>
      </c>
      <c r="F208" s="6" t="s">
        <v>27</v>
      </c>
      <c r="G208" s="6">
        <v>3</v>
      </c>
      <c r="H208" s="6">
        <v>20000</v>
      </c>
      <c r="I208" s="6">
        <v>60000</v>
      </c>
      <c r="J208" s="6" t="s">
        <v>34</v>
      </c>
      <c r="K208" s="6" t="str">
        <f>TEXT(Table1[[#This Row],[OrderDate]],"mmm")</f>
        <v>Nov</v>
      </c>
    </row>
    <row r="209" spans="1:11">
      <c r="A209" s="6">
        <v>1208</v>
      </c>
      <c r="B209" s="6" t="s">
        <v>201</v>
      </c>
      <c r="C209" s="6" t="s">
        <v>25</v>
      </c>
      <c r="D209" s="6" t="s">
        <v>13</v>
      </c>
      <c r="E209" s="6" t="s">
        <v>50</v>
      </c>
      <c r="F209" s="6" t="s">
        <v>51</v>
      </c>
      <c r="G209" s="6">
        <v>1</v>
      </c>
      <c r="H209" s="6">
        <v>2000</v>
      </c>
      <c r="I209" s="6">
        <v>2000</v>
      </c>
      <c r="J209" s="6" t="s">
        <v>38</v>
      </c>
      <c r="K209" s="6" t="str">
        <f>TEXT(Table1[[#This Row],[OrderDate]],"mmm")</f>
        <v>May</v>
      </c>
    </row>
    <row r="210" spans="1:11">
      <c r="A210" s="6">
        <v>1209</v>
      </c>
      <c r="B210" s="6" t="s">
        <v>202</v>
      </c>
      <c r="C210" s="6" t="s">
        <v>29</v>
      </c>
      <c r="D210" s="6" t="s">
        <v>13</v>
      </c>
      <c r="E210" s="6" t="s">
        <v>57</v>
      </c>
      <c r="F210" s="6" t="s">
        <v>44</v>
      </c>
      <c r="G210" s="6">
        <v>1</v>
      </c>
      <c r="H210" s="6">
        <v>20</v>
      </c>
      <c r="I210" s="6">
        <v>20</v>
      </c>
      <c r="J210" s="6" t="s">
        <v>34</v>
      </c>
      <c r="K210" s="6" t="str">
        <f>TEXT(Table1[[#This Row],[OrderDate]],"mmm")</f>
        <v>Aug</v>
      </c>
    </row>
    <row r="211" spans="1:11">
      <c r="A211" s="6">
        <v>1210</v>
      </c>
      <c r="B211" s="6" t="s">
        <v>203</v>
      </c>
      <c r="C211" s="6" t="s">
        <v>25</v>
      </c>
      <c r="D211" s="6" t="s">
        <v>18</v>
      </c>
      <c r="E211" s="6" t="s">
        <v>14</v>
      </c>
      <c r="F211" s="6" t="s">
        <v>15</v>
      </c>
      <c r="G211" s="6">
        <v>2</v>
      </c>
      <c r="H211" s="6">
        <v>8000</v>
      </c>
      <c r="I211" s="6">
        <v>16000</v>
      </c>
      <c r="J211" s="6" t="s">
        <v>34</v>
      </c>
      <c r="K211" s="6" t="str">
        <f>TEXT(Table1[[#This Row],[OrderDate]],"mmm")</f>
        <v>Oct</v>
      </c>
    </row>
    <row r="212" spans="1:11">
      <c r="A212" s="6">
        <v>1211</v>
      </c>
      <c r="B212" s="6" t="s">
        <v>204</v>
      </c>
      <c r="C212" s="6" t="s">
        <v>32</v>
      </c>
      <c r="D212" s="6" t="s">
        <v>13</v>
      </c>
      <c r="E212" s="6" t="s">
        <v>50</v>
      </c>
      <c r="F212" s="6" t="s">
        <v>51</v>
      </c>
      <c r="G212" s="6">
        <v>4</v>
      </c>
      <c r="H212" s="6">
        <v>2000</v>
      </c>
      <c r="I212" s="6">
        <v>8000</v>
      </c>
      <c r="J212" s="6" t="s">
        <v>34</v>
      </c>
      <c r="K212" s="6" t="str">
        <f>TEXT(Table1[[#This Row],[OrderDate]],"mmm")</f>
        <v>Jun</v>
      </c>
    </row>
    <row r="213" spans="1:11">
      <c r="A213" s="6">
        <v>1212</v>
      </c>
      <c r="B213" s="6" t="s">
        <v>59</v>
      </c>
      <c r="C213" s="6" t="s">
        <v>54</v>
      </c>
      <c r="D213" s="6" t="s">
        <v>23</v>
      </c>
      <c r="E213" s="6" t="s">
        <v>43</v>
      </c>
      <c r="F213" s="6" t="s">
        <v>44</v>
      </c>
      <c r="G213" s="6">
        <v>4</v>
      </c>
      <c r="H213" s="6">
        <v>150</v>
      </c>
      <c r="I213" s="6">
        <v>600</v>
      </c>
      <c r="J213" s="6" t="s">
        <v>34</v>
      </c>
      <c r="K213" s="6" t="str">
        <f>TEXT(Table1[[#This Row],[OrderDate]],"mmm")</f>
        <v>Feb</v>
      </c>
    </row>
    <row r="214" spans="1:11">
      <c r="A214" s="6">
        <v>1213</v>
      </c>
      <c r="B214" s="6" t="s">
        <v>205</v>
      </c>
      <c r="C214" s="6" t="s">
        <v>71</v>
      </c>
      <c r="D214" s="6" t="s">
        <v>13</v>
      </c>
      <c r="E214" s="6" t="s">
        <v>40</v>
      </c>
      <c r="F214" s="6" t="s">
        <v>27</v>
      </c>
      <c r="G214" s="6">
        <v>2</v>
      </c>
      <c r="H214" s="6">
        <v>20000</v>
      </c>
      <c r="I214" s="6">
        <v>40000</v>
      </c>
      <c r="J214" s="6" t="s">
        <v>34</v>
      </c>
      <c r="K214" s="6" t="str">
        <f>TEXT(Table1[[#This Row],[OrderDate]],"mmm")</f>
        <v>Mar</v>
      </c>
    </row>
    <row r="215" spans="1:11">
      <c r="A215" s="6">
        <v>1214</v>
      </c>
      <c r="B215" s="6" t="s">
        <v>112</v>
      </c>
      <c r="C215" s="6" t="s">
        <v>29</v>
      </c>
      <c r="D215" s="6" t="s">
        <v>18</v>
      </c>
      <c r="E215" s="6" t="s">
        <v>14</v>
      </c>
      <c r="F215" s="6" t="s">
        <v>15</v>
      </c>
      <c r="G215" s="6">
        <v>5</v>
      </c>
      <c r="H215" s="6">
        <v>8000</v>
      </c>
      <c r="I215" s="6">
        <v>40000</v>
      </c>
      <c r="J215" s="6" t="s">
        <v>38</v>
      </c>
      <c r="K215" s="6" t="str">
        <f>TEXT(Table1[[#This Row],[OrderDate]],"mmm")</f>
        <v>Feb</v>
      </c>
    </row>
    <row r="216" spans="1:11">
      <c r="A216" s="6">
        <v>1215</v>
      </c>
      <c r="B216" s="6" t="s">
        <v>79</v>
      </c>
      <c r="C216" s="6" t="s">
        <v>54</v>
      </c>
      <c r="D216" s="6" t="s">
        <v>23</v>
      </c>
      <c r="E216" s="6" t="s">
        <v>50</v>
      </c>
      <c r="F216" s="6" t="s">
        <v>51</v>
      </c>
      <c r="G216" s="6">
        <v>4</v>
      </c>
      <c r="H216" s="6">
        <v>2000</v>
      </c>
      <c r="I216" s="6">
        <v>8000</v>
      </c>
      <c r="J216" s="6" t="s">
        <v>16</v>
      </c>
      <c r="K216" s="6" t="str">
        <f>TEXT(Table1[[#This Row],[OrderDate]],"mmm")</f>
        <v>Nov</v>
      </c>
    </row>
    <row r="217" spans="1:11">
      <c r="A217" s="6">
        <v>1216</v>
      </c>
      <c r="B217" s="6" t="s">
        <v>130</v>
      </c>
      <c r="C217" s="6" t="s">
        <v>60</v>
      </c>
      <c r="D217" s="6" t="s">
        <v>30</v>
      </c>
      <c r="E217" s="6" t="s">
        <v>43</v>
      </c>
      <c r="F217" s="6" t="s">
        <v>44</v>
      </c>
      <c r="G217" s="6">
        <v>2</v>
      </c>
      <c r="H217" s="6">
        <v>150</v>
      </c>
      <c r="I217" s="6">
        <v>300</v>
      </c>
      <c r="J217" s="6" t="s">
        <v>16</v>
      </c>
      <c r="K217" s="6" t="str">
        <f>TEXT(Table1[[#This Row],[OrderDate]],"mmm")</f>
        <v>Dec</v>
      </c>
    </row>
    <row r="218" spans="1:11">
      <c r="A218" s="6">
        <v>1217</v>
      </c>
      <c r="B218" s="6" t="s">
        <v>206</v>
      </c>
      <c r="C218" s="6" t="s">
        <v>22</v>
      </c>
      <c r="D218" s="6" t="s">
        <v>23</v>
      </c>
      <c r="E218" s="6" t="s">
        <v>40</v>
      </c>
      <c r="F218" s="6" t="s">
        <v>27</v>
      </c>
      <c r="G218" s="6">
        <v>3</v>
      </c>
      <c r="H218" s="6">
        <v>20000</v>
      </c>
      <c r="I218" s="6">
        <v>60000</v>
      </c>
      <c r="J218" s="6" t="s">
        <v>38</v>
      </c>
      <c r="K218" s="6" t="str">
        <f>TEXT(Table1[[#This Row],[OrderDate]],"mmm")</f>
        <v>May</v>
      </c>
    </row>
    <row r="219" spans="1:11">
      <c r="A219" s="6">
        <v>1218</v>
      </c>
      <c r="B219" s="6" t="s">
        <v>207</v>
      </c>
      <c r="C219" s="6" t="s">
        <v>12</v>
      </c>
      <c r="D219" s="6" t="s">
        <v>30</v>
      </c>
      <c r="E219" s="6" t="s">
        <v>33</v>
      </c>
      <c r="F219" s="6" t="s">
        <v>27</v>
      </c>
      <c r="G219" s="6">
        <v>1</v>
      </c>
      <c r="H219" s="6">
        <v>55000</v>
      </c>
      <c r="I219" s="6">
        <v>55000</v>
      </c>
      <c r="J219" s="6" t="s">
        <v>16</v>
      </c>
      <c r="K219" s="6" t="str">
        <f>TEXT(Table1[[#This Row],[OrderDate]],"mmm")</f>
        <v>Nov</v>
      </c>
    </row>
    <row r="220" spans="1:11">
      <c r="A220" s="6">
        <v>1219</v>
      </c>
      <c r="B220" s="6" t="s">
        <v>208</v>
      </c>
      <c r="C220" s="6" t="s">
        <v>42</v>
      </c>
      <c r="D220" s="6" t="s">
        <v>30</v>
      </c>
      <c r="E220" s="6" t="s">
        <v>57</v>
      </c>
      <c r="F220" s="6" t="s">
        <v>44</v>
      </c>
      <c r="G220" s="6">
        <v>1</v>
      </c>
      <c r="H220" s="6">
        <v>20</v>
      </c>
      <c r="I220" s="6">
        <v>20</v>
      </c>
      <c r="J220" s="6" t="s">
        <v>16</v>
      </c>
      <c r="K220" s="6" t="str">
        <f>TEXT(Table1[[#This Row],[OrderDate]],"mmm")</f>
        <v>Jan</v>
      </c>
    </row>
    <row r="221" spans="1:11">
      <c r="A221" s="6">
        <v>1220</v>
      </c>
      <c r="B221" s="6" t="s">
        <v>90</v>
      </c>
      <c r="C221" s="6" t="s">
        <v>42</v>
      </c>
      <c r="D221" s="6" t="s">
        <v>30</v>
      </c>
      <c r="E221" s="6" t="s">
        <v>50</v>
      </c>
      <c r="F221" s="6" t="s">
        <v>51</v>
      </c>
      <c r="G221" s="6">
        <v>2</v>
      </c>
      <c r="H221" s="6">
        <v>2000</v>
      </c>
      <c r="I221" s="6">
        <v>4000</v>
      </c>
      <c r="J221" s="6" t="s">
        <v>38</v>
      </c>
      <c r="K221" s="6" t="str">
        <f>TEXT(Table1[[#This Row],[OrderDate]],"mmm")</f>
        <v>Sep</v>
      </c>
    </row>
    <row r="222" spans="1:11">
      <c r="A222" s="6">
        <v>1221</v>
      </c>
      <c r="B222" s="6" t="s">
        <v>66</v>
      </c>
      <c r="C222" s="6" t="s">
        <v>54</v>
      </c>
      <c r="D222" s="6" t="s">
        <v>23</v>
      </c>
      <c r="E222" s="6" t="s">
        <v>57</v>
      </c>
      <c r="F222" s="6" t="s">
        <v>44</v>
      </c>
      <c r="G222" s="6">
        <v>1</v>
      </c>
      <c r="H222" s="6">
        <v>20</v>
      </c>
      <c r="I222" s="6">
        <v>20</v>
      </c>
      <c r="J222" s="6" t="s">
        <v>34</v>
      </c>
      <c r="K222" s="6" t="str">
        <f>TEXT(Table1[[#This Row],[OrderDate]],"mmm")</f>
        <v>Oct</v>
      </c>
    </row>
    <row r="223" spans="1:11">
      <c r="A223" s="6">
        <v>1222</v>
      </c>
      <c r="B223" s="6" t="s">
        <v>209</v>
      </c>
      <c r="C223" s="6" t="s">
        <v>42</v>
      </c>
      <c r="D223" s="6" t="s">
        <v>18</v>
      </c>
      <c r="E223" s="6" t="s">
        <v>26</v>
      </c>
      <c r="F223" s="6" t="s">
        <v>27</v>
      </c>
      <c r="G223" s="6">
        <v>1</v>
      </c>
      <c r="H223" s="6">
        <v>15000</v>
      </c>
      <c r="I223" s="6">
        <v>15000</v>
      </c>
      <c r="J223" s="6" t="s">
        <v>20</v>
      </c>
      <c r="K223" s="6" t="str">
        <f>TEXT(Table1[[#This Row],[OrderDate]],"mmm")</f>
        <v>Aug</v>
      </c>
    </row>
    <row r="224" spans="1:11">
      <c r="A224" s="6">
        <v>1223</v>
      </c>
      <c r="B224" s="6" t="s">
        <v>119</v>
      </c>
      <c r="C224" s="6" t="s">
        <v>29</v>
      </c>
      <c r="D224" s="6" t="s">
        <v>23</v>
      </c>
      <c r="E224" s="6" t="s">
        <v>26</v>
      </c>
      <c r="F224" s="6" t="s">
        <v>27</v>
      </c>
      <c r="G224" s="6">
        <v>1</v>
      </c>
      <c r="H224" s="6">
        <v>15000</v>
      </c>
      <c r="I224" s="6">
        <v>15000</v>
      </c>
      <c r="J224" s="6" t="s">
        <v>34</v>
      </c>
      <c r="K224" s="6" t="str">
        <f>TEXT(Table1[[#This Row],[OrderDate]],"mmm")</f>
        <v>Jan</v>
      </c>
    </row>
    <row r="225" spans="1:11">
      <c r="A225" s="6">
        <v>1224</v>
      </c>
      <c r="B225" s="6" t="s">
        <v>210</v>
      </c>
      <c r="C225" s="6" t="s">
        <v>42</v>
      </c>
      <c r="D225" s="6" t="s">
        <v>23</v>
      </c>
      <c r="E225" s="6" t="s">
        <v>33</v>
      </c>
      <c r="F225" s="6" t="s">
        <v>27</v>
      </c>
      <c r="G225" s="6">
        <v>1</v>
      </c>
      <c r="H225" s="6">
        <v>55000</v>
      </c>
      <c r="I225" s="6">
        <v>55000</v>
      </c>
      <c r="J225" s="6" t="s">
        <v>16</v>
      </c>
      <c r="K225" s="6" t="str">
        <f>TEXT(Table1[[#This Row],[OrderDate]],"mmm")</f>
        <v>Oct</v>
      </c>
    </row>
    <row r="226" spans="1:11">
      <c r="A226" s="6">
        <v>1225</v>
      </c>
      <c r="B226" s="6" t="s">
        <v>78</v>
      </c>
      <c r="C226" s="6" t="s">
        <v>12</v>
      </c>
      <c r="D226" s="6" t="s">
        <v>13</v>
      </c>
      <c r="E226" s="6" t="s">
        <v>50</v>
      </c>
      <c r="F226" s="6" t="s">
        <v>51</v>
      </c>
      <c r="G226" s="6">
        <v>1</v>
      </c>
      <c r="H226" s="6">
        <v>2000</v>
      </c>
      <c r="I226" s="6">
        <v>2000</v>
      </c>
      <c r="J226" s="6" t="s">
        <v>34</v>
      </c>
      <c r="K226" s="6" t="str">
        <f>TEXT(Table1[[#This Row],[OrderDate]],"mmm")</f>
        <v>Jul</v>
      </c>
    </row>
    <row r="227" spans="1:11">
      <c r="A227" s="6">
        <v>1226</v>
      </c>
      <c r="B227" s="6" t="s">
        <v>58</v>
      </c>
      <c r="C227" s="6" t="s">
        <v>22</v>
      </c>
      <c r="D227" s="6" t="s">
        <v>13</v>
      </c>
      <c r="E227" s="6" t="s">
        <v>57</v>
      </c>
      <c r="F227" s="6" t="s">
        <v>44</v>
      </c>
      <c r="G227" s="6">
        <v>3</v>
      </c>
      <c r="H227" s="6">
        <v>20</v>
      </c>
      <c r="I227" s="6">
        <v>60</v>
      </c>
      <c r="J227" s="6" t="s">
        <v>34</v>
      </c>
      <c r="K227" s="6" t="str">
        <f>TEXT(Table1[[#This Row],[OrderDate]],"mmm")</f>
        <v>Jan</v>
      </c>
    </row>
    <row r="228" spans="1:11">
      <c r="A228" s="6">
        <v>1227</v>
      </c>
      <c r="B228" s="6" t="s">
        <v>211</v>
      </c>
      <c r="C228" s="6" t="s">
        <v>47</v>
      </c>
      <c r="D228" s="6" t="s">
        <v>18</v>
      </c>
      <c r="E228" s="6" t="s">
        <v>19</v>
      </c>
      <c r="F228" s="6" t="s">
        <v>15</v>
      </c>
      <c r="G228" s="6">
        <v>5</v>
      </c>
      <c r="H228" s="6">
        <v>4500</v>
      </c>
      <c r="I228" s="6">
        <v>22500</v>
      </c>
      <c r="J228" s="6" t="s">
        <v>34</v>
      </c>
      <c r="K228" s="6" t="str">
        <f>TEXT(Table1[[#This Row],[OrderDate]],"mmm")</f>
        <v>Sep</v>
      </c>
    </row>
    <row r="229" spans="1:11">
      <c r="A229" s="6">
        <v>1228</v>
      </c>
      <c r="B229" s="6" t="s">
        <v>212</v>
      </c>
      <c r="C229" s="6" t="s">
        <v>42</v>
      </c>
      <c r="D229" s="6" t="s">
        <v>23</v>
      </c>
      <c r="E229" s="6" t="s">
        <v>33</v>
      </c>
      <c r="F229" s="6" t="s">
        <v>27</v>
      </c>
      <c r="G229" s="6">
        <v>1</v>
      </c>
      <c r="H229" s="6">
        <v>55000</v>
      </c>
      <c r="I229" s="6">
        <v>55000</v>
      </c>
      <c r="J229" s="6" t="s">
        <v>38</v>
      </c>
      <c r="K229" s="6" t="str">
        <f>TEXT(Table1[[#This Row],[OrderDate]],"mmm")</f>
        <v>Oct</v>
      </c>
    </row>
    <row r="230" spans="1:11">
      <c r="A230" s="6">
        <v>1229</v>
      </c>
      <c r="B230" s="6" t="s">
        <v>213</v>
      </c>
      <c r="C230" s="6" t="s">
        <v>29</v>
      </c>
      <c r="D230" s="6" t="s">
        <v>18</v>
      </c>
      <c r="E230" s="6" t="s">
        <v>19</v>
      </c>
      <c r="F230" s="6" t="s">
        <v>15</v>
      </c>
      <c r="G230" s="6">
        <v>1</v>
      </c>
      <c r="H230" s="6">
        <v>4500</v>
      </c>
      <c r="I230" s="6">
        <v>4500</v>
      </c>
      <c r="J230" s="6" t="s">
        <v>38</v>
      </c>
      <c r="K230" s="6" t="str">
        <f>TEXT(Table1[[#This Row],[OrderDate]],"mmm")</f>
        <v>Jul</v>
      </c>
    </row>
    <row r="231" spans="1:11">
      <c r="A231" s="6">
        <v>1230</v>
      </c>
      <c r="B231" s="6" t="s">
        <v>214</v>
      </c>
      <c r="C231" s="6" t="s">
        <v>25</v>
      </c>
      <c r="D231" s="6" t="s">
        <v>30</v>
      </c>
      <c r="E231" s="6" t="s">
        <v>57</v>
      </c>
      <c r="F231" s="6" t="s">
        <v>44</v>
      </c>
      <c r="G231" s="6">
        <v>3</v>
      </c>
      <c r="H231" s="6">
        <v>20</v>
      </c>
      <c r="I231" s="6">
        <v>60</v>
      </c>
      <c r="J231" s="6" t="s">
        <v>20</v>
      </c>
      <c r="K231" s="6" t="str">
        <f>TEXT(Table1[[#This Row],[OrderDate]],"mmm")</f>
        <v>Feb</v>
      </c>
    </row>
    <row r="232" spans="1:11">
      <c r="A232" s="6">
        <v>1231</v>
      </c>
      <c r="B232" s="6" t="s">
        <v>151</v>
      </c>
      <c r="C232" s="6" t="s">
        <v>32</v>
      </c>
      <c r="D232" s="6" t="s">
        <v>18</v>
      </c>
      <c r="E232" s="6" t="s">
        <v>14</v>
      </c>
      <c r="F232" s="6" t="s">
        <v>15</v>
      </c>
      <c r="G232" s="6">
        <v>4</v>
      </c>
      <c r="H232" s="6">
        <v>8000</v>
      </c>
      <c r="I232" s="6">
        <v>32000</v>
      </c>
      <c r="J232" s="6" t="s">
        <v>16</v>
      </c>
      <c r="K232" s="6" t="str">
        <f>TEXT(Table1[[#This Row],[OrderDate]],"mmm")</f>
        <v>Mar</v>
      </c>
    </row>
    <row r="233" spans="1:11">
      <c r="A233" s="6">
        <v>1232</v>
      </c>
      <c r="B233" s="6" t="s">
        <v>58</v>
      </c>
      <c r="C233" s="6" t="s">
        <v>22</v>
      </c>
      <c r="D233" s="6" t="s">
        <v>18</v>
      </c>
      <c r="E233" s="6" t="s">
        <v>43</v>
      </c>
      <c r="F233" s="6" t="s">
        <v>44</v>
      </c>
      <c r="G233" s="6">
        <v>5</v>
      </c>
      <c r="H233" s="6">
        <v>150</v>
      </c>
      <c r="I233" s="6">
        <v>750</v>
      </c>
      <c r="J233" s="6" t="s">
        <v>34</v>
      </c>
      <c r="K233" s="6" t="str">
        <f>TEXT(Table1[[#This Row],[OrderDate]],"mmm")</f>
        <v>Jan</v>
      </c>
    </row>
    <row r="234" spans="1:11">
      <c r="A234" s="6">
        <v>1233</v>
      </c>
      <c r="B234" s="6" t="s">
        <v>125</v>
      </c>
      <c r="C234" s="6" t="s">
        <v>42</v>
      </c>
      <c r="D234" s="6" t="s">
        <v>23</v>
      </c>
      <c r="E234" s="6" t="s">
        <v>43</v>
      </c>
      <c r="F234" s="6" t="s">
        <v>44</v>
      </c>
      <c r="G234" s="6">
        <v>2</v>
      </c>
      <c r="H234" s="6">
        <v>150</v>
      </c>
      <c r="I234" s="6">
        <v>300</v>
      </c>
      <c r="J234" s="6" t="s">
        <v>34</v>
      </c>
      <c r="K234" s="6" t="str">
        <f>TEXT(Table1[[#This Row],[OrderDate]],"mmm")</f>
        <v>Jul</v>
      </c>
    </row>
    <row r="235" spans="1:11">
      <c r="A235" s="6">
        <v>1234</v>
      </c>
      <c r="B235" s="6" t="s">
        <v>128</v>
      </c>
      <c r="C235" s="6" t="s">
        <v>42</v>
      </c>
      <c r="D235" s="6" t="s">
        <v>23</v>
      </c>
      <c r="E235" s="6" t="s">
        <v>33</v>
      </c>
      <c r="F235" s="6" t="s">
        <v>27</v>
      </c>
      <c r="G235" s="6">
        <v>5</v>
      </c>
      <c r="H235" s="6">
        <v>55000</v>
      </c>
      <c r="I235" s="6">
        <v>275000</v>
      </c>
      <c r="J235" s="6" t="s">
        <v>34</v>
      </c>
      <c r="K235" s="6" t="str">
        <f>TEXT(Table1[[#This Row],[OrderDate]],"mmm")</f>
        <v>Nov</v>
      </c>
    </row>
    <row r="236" spans="1:11">
      <c r="A236" s="6">
        <v>1235</v>
      </c>
      <c r="B236" s="6" t="s">
        <v>55</v>
      </c>
      <c r="C236" s="6" t="s">
        <v>60</v>
      </c>
      <c r="D236" s="6" t="s">
        <v>23</v>
      </c>
      <c r="E236" s="6" t="s">
        <v>14</v>
      </c>
      <c r="F236" s="6" t="s">
        <v>15</v>
      </c>
      <c r="G236" s="6">
        <v>3</v>
      </c>
      <c r="H236" s="6">
        <v>8000</v>
      </c>
      <c r="I236" s="6">
        <v>24000</v>
      </c>
      <c r="J236" s="6" t="s">
        <v>34</v>
      </c>
      <c r="K236" s="6" t="str">
        <f>TEXT(Table1[[#This Row],[OrderDate]],"mmm")</f>
        <v>Jun</v>
      </c>
    </row>
    <row r="237" spans="1:11">
      <c r="A237" s="6">
        <v>1236</v>
      </c>
      <c r="B237" s="6" t="s">
        <v>174</v>
      </c>
      <c r="C237" s="6" t="s">
        <v>71</v>
      </c>
      <c r="D237" s="6" t="s">
        <v>13</v>
      </c>
      <c r="E237" s="6" t="s">
        <v>19</v>
      </c>
      <c r="F237" s="6" t="s">
        <v>15</v>
      </c>
      <c r="G237" s="6">
        <v>3</v>
      </c>
      <c r="H237" s="6">
        <v>4500</v>
      </c>
      <c r="I237" s="6">
        <v>13500</v>
      </c>
      <c r="J237" s="6" t="s">
        <v>34</v>
      </c>
      <c r="K237" s="6" t="str">
        <f>TEXT(Table1[[#This Row],[OrderDate]],"mmm")</f>
        <v>Dec</v>
      </c>
    </row>
    <row r="238" spans="1:11">
      <c r="A238" s="6">
        <v>1237</v>
      </c>
      <c r="B238" s="6" t="s">
        <v>46</v>
      </c>
      <c r="C238" s="6" t="s">
        <v>42</v>
      </c>
      <c r="D238" s="6" t="s">
        <v>30</v>
      </c>
      <c r="E238" s="6" t="s">
        <v>33</v>
      </c>
      <c r="F238" s="6" t="s">
        <v>27</v>
      </c>
      <c r="G238" s="6">
        <v>2</v>
      </c>
      <c r="H238" s="6">
        <v>55000</v>
      </c>
      <c r="I238" s="6">
        <v>110000</v>
      </c>
      <c r="J238" s="6" t="s">
        <v>20</v>
      </c>
      <c r="K238" s="6" t="str">
        <f>TEXT(Table1[[#This Row],[OrderDate]],"mmm")</f>
        <v>Jun</v>
      </c>
    </row>
    <row r="239" spans="1:11">
      <c r="A239" s="6">
        <v>1238</v>
      </c>
      <c r="B239" s="6" t="s">
        <v>140</v>
      </c>
      <c r="C239" s="6" t="s">
        <v>29</v>
      </c>
      <c r="D239" s="6" t="s">
        <v>23</v>
      </c>
      <c r="E239" s="6" t="s">
        <v>57</v>
      </c>
      <c r="F239" s="6" t="s">
        <v>44</v>
      </c>
      <c r="G239" s="6">
        <v>2</v>
      </c>
      <c r="H239" s="6">
        <v>20</v>
      </c>
      <c r="I239" s="6">
        <v>40</v>
      </c>
      <c r="J239" s="6" t="s">
        <v>16</v>
      </c>
      <c r="K239" s="6" t="str">
        <f>TEXT(Table1[[#This Row],[OrderDate]],"mmm")</f>
        <v>Jan</v>
      </c>
    </row>
    <row r="240" spans="1:11">
      <c r="A240" s="6">
        <v>1239</v>
      </c>
      <c r="B240" s="6" t="s">
        <v>215</v>
      </c>
      <c r="C240" s="6" t="s">
        <v>32</v>
      </c>
      <c r="D240" s="6" t="s">
        <v>13</v>
      </c>
      <c r="E240" s="6" t="s">
        <v>43</v>
      </c>
      <c r="F240" s="6" t="s">
        <v>44</v>
      </c>
      <c r="G240" s="6">
        <v>4</v>
      </c>
      <c r="H240" s="6">
        <v>150</v>
      </c>
      <c r="I240" s="6">
        <v>600</v>
      </c>
      <c r="J240" s="6" t="s">
        <v>16</v>
      </c>
      <c r="K240" s="6" t="str">
        <f>TEXT(Table1[[#This Row],[OrderDate]],"mmm")</f>
        <v>Sep</v>
      </c>
    </row>
    <row r="241" spans="1:11">
      <c r="A241" s="6">
        <v>1240</v>
      </c>
      <c r="B241" s="6" t="s">
        <v>216</v>
      </c>
      <c r="C241" s="6" t="s">
        <v>54</v>
      </c>
      <c r="D241" s="6" t="s">
        <v>18</v>
      </c>
      <c r="E241" s="6" t="s">
        <v>19</v>
      </c>
      <c r="F241" s="6" t="s">
        <v>15</v>
      </c>
      <c r="G241" s="6">
        <v>5</v>
      </c>
      <c r="H241" s="6">
        <v>4500</v>
      </c>
      <c r="I241" s="6">
        <v>22500</v>
      </c>
      <c r="J241" s="6" t="s">
        <v>38</v>
      </c>
      <c r="K241" s="6" t="str">
        <f>TEXT(Table1[[#This Row],[OrderDate]],"mmm")</f>
        <v>Feb</v>
      </c>
    </row>
    <row r="242" spans="1:11">
      <c r="A242" s="6">
        <v>1241</v>
      </c>
      <c r="B242" s="6" t="s">
        <v>187</v>
      </c>
      <c r="C242" s="6" t="s">
        <v>12</v>
      </c>
      <c r="D242" s="6" t="s">
        <v>18</v>
      </c>
      <c r="E242" s="6" t="s">
        <v>40</v>
      </c>
      <c r="F242" s="6" t="s">
        <v>27</v>
      </c>
      <c r="G242" s="6">
        <v>5</v>
      </c>
      <c r="H242" s="6">
        <v>20000</v>
      </c>
      <c r="I242" s="6">
        <v>100000</v>
      </c>
      <c r="J242" s="6" t="s">
        <v>34</v>
      </c>
      <c r="K242" s="6" t="str">
        <f>TEXT(Table1[[#This Row],[OrderDate]],"mmm")</f>
        <v>Apr</v>
      </c>
    </row>
    <row r="243" spans="1:11">
      <c r="A243" s="6">
        <v>1242</v>
      </c>
      <c r="B243" s="6" t="s">
        <v>217</v>
      </c>
      <c r="C243" s="6" t="s">
        <v>54</v>
      </c>
      <c r="D243" s="6" t="s">
        <v>18</v>
      </c>
      <c r="E243" s="6" t="s">
        <v>43</v>
      </c>
      <c r="F243" s="6" t="s">
        <v>44</v>
      </c>
      <c r="G243" s="6">
        <v>1</v>
      </c>
      <c r="H243" s="6">
        <v>150</v>
      </c>
      <c r="I243" s="6">
        <v>150</v>
      </c>
      <c r="J243" s="6" t="s">
        <v>34</v>
      </c>
      <c r="K243" s="6" t="str">
        <f>TEXT(Table1[[#This Row],[OrderDate]],"mmm")</f>
        <v>Jun</v>
      </c>
    </row>
    <row r="244" spans="1:11">
      <c r="A244" s="6">
        <v>1243</v>
      </c>
      <c r="B244" s="6" t="s">
        <v>97</v>
      </c>
      <c r="C244" s="6" t="s">
        <v>60</v>
      </c>
      <c r="D244" s="6" t="s">
        <v>23</v>
      </c>
      <c r="E244" s="6" t="s">
        <v>33</v>
      </c>
      <c r="F244" s="6" t="s">
        <v>27</v>
      </c>
      <c r="G244" s="6">
        <v>2</v>
      </c>
      <c r="H244" s="6">
        <v>55000</v>
      </c>
      <c r="I244" s="6">
        <v>110000</v>
      </c>
      <c r="J244" s="6" t="s">
        <v>38</v>
      </c>
      <c r="K244" s="6" t="str">
        <f>TEXT(Table1[[#This Row],[OrderDate]],"mmm")</f>
        <v>Sep</v>
      </c>
    </row>
    <row r="245" spans="1:11">
      <c r="A245" s="6">
        <v>1244</v>
      </c>
      <c r="B245" s="6" t="s">
        <v>62</v>
      </c>
      <c r="C245" s="6" t="s">
        <v>47</v>
      </c>
      <c r="D245" s="6" t="s">
        <v>30</v>
      </c>
      <c r="E245" s="6" t="s">
        <v>57</v>
      </c>
      <c r="F245" s="6" t="s">
        <v>44</v>
      </c>
      <c r="G245" s="6">
        <v>3</v>
      </c>
      <c r="H245" s="6">
        <v>20</v>
      </c>
      <c r="I245" s="6">
        <v>60</v>
      </c>
      <c r="J245" s="6" t="s">
        <v>38</v>
      </c>
      <c r="K245" s="6" t="str">
        <f>TEXT(Table1[[#This Row],[OrderDate]],"mmm")</f>
        <v>Jul</v>
      </c>
    </row>
    <row r="246" spans="1:11">
      <c r="A246" s="6">
        <v>1245</v>
      </c>
      <c r="B246" s="6" t="s">
        <v>218</v>
      </c>
      <c r="C246" s="6" t="s">
        <v>54</v>
      </c>
      <c r="D246" s="6" t="s">
        <v>18</v>
      </c>
      <c r="E246" s="6" t="s">
        <v>50</v>
      </c>
      <c r="F246" s="6" t="s">
        <v>51</v>
      </c>
      <c r="G246" s="6">
        <v>4</v>
      </c>
      <c r="H246" s="6">
        <v>2000</v>
      </c>
      <c r="I246" s="6">
        <v>8000</v>
      </c>
      <c r="J246" s="6" t="s">
        <v>20</v>
      </c>
      <c r="K246" s="6" t="str">
        <f>TEXT(Table1[[#This Row],[OrderDate]],"mmm")</f>
        <v>Mar</v>
      </c>
    </row>
    <row r="247" spans="1:11">
      <c r="A247" s="6">
        <v>1246</v>
      </c>
      <c r="B247" s="6" t="s">
        <v>151</v>
      </c>
      <c r="C247" s="6" t="s">
        <v>42</v>
      </c>
      <c r="D247" s="6" t="s">
        <v>23</v>
      </c>
      <c r="E247" s="6" t="s">
        <v>50</v>
      </c>
      <c r="F247" s="6" t="s">
        <v>51</v>
      </c>
      <c r="G247" s="6">
        <v>2</v>
      </c>
      <c r="H247" s="6">
        <v>2000</v>
      </c>
      <c r="I247" s="6">
        <v>4000</v>
      </c>
      <c r="J247" s="6" t="s">
        <v>34</v>
      </c>
      <c r="K247" s="6" t="str">
        <f>TEXT(Table1[[#This Row],[OrderDate]],"mmm")</f>
        <v>Mar</v>
      </c>
    </row>
    <row r="248" spans="1:11">
      <c r="A248" s="6">
        <v>1247</v>
      </c>
      <c r="B248" s="6" t="s">
        <v>219</v>
      </c>
      <c r="C248" s="6" t="s">
        <v>54</v>
      </c>
      <c r="D248" s="6" t="s">
        <v>30</v>
      </c>
      <c r="E248" s="6" t="s">
        <v>50</v>
      </c>
      <c r="F248" s="6" t="s">
        <v>51</v>
      </c>
      <c r="G248" s="6">
        <v>1</v>
      </c>
      <c r="H248" s="6">
        <v>2000</v>
      </c>
      <c r="I248" s="6">
        <v>2000</v>
      </c>
      <c r="J248" s="6" t="s">
        <v>16</v>
      </c>
      <c r="K248" s="6" t="str">
        <f>TEXT(Table1[[#This Row],[OrderDate]],"mmm")</f>
        <v>May</v>
      </c>
    </row>
    <row r="249" spans="1:11">
      <c r="A249" s="6">
        <v>1248</v>
      </c>
      <c r="B249" s="6" t="s">
        <v>220</v>
      </c>
      <c r="C249" s="6" t="s">
        <v>25</v>
      </c>
      <c r="D249" s="6" t="s">
        <v>13</v>
      </c>
      <c r="E249" s="6" t="s">
        <v>50</v>
      </c>
      <c r="F249" s="6" t="s">
        <v>51</v>
      </c>
      <c r="G249" s="6">
        <v>3</v>
      </c>
      <c r="H249" s="6">
        <v>2000</v>
      </c>
      <c r="I249" s="6">
        <v>6000</v>
      </c>
      <c r="J249" s="6" t="s">
        <v>20</v>
      </c>
      <c r="K249" s="6" t="str">
        <f>TEXT(Table1[[#This Row],[OrderDate]],"mmm")</f>
        <v>Dec</v>
      </c>
    </row>
    <row r="250" spans="1:11">
      <c r="A250" s="6">
        <v>1249</v>
      </c>
      <c r="B250" s="6" t="s">
        <v>115</v>
      </c>
      <c r="C250" s="6" t="s">
        <v>42</v>
      </c>
      <c r="D250" s="6" t="s">
        <v>18</v>
      </c>
      <c r="E250" s="6" t="s">
        <v>50</v>
      </c>
      <c r="F250" s="6" t="s">
        <v>51</v>
      </c>
      <c r="G250" s="6">
        <v>2</v>
      </c>
      <c r="H250" s="6">
        <v>2000</v>
      </c>
      <c r="I250" s="6">
        <v>4000</v>
      </c>
      <c r="J250" s="6" t="s">
        <v>20</v>
      </c>
      <c r="K250" s="6" t="str">
        <f>TEXT(Table1[[#This Row],[OrderDate]],"mmm")</f>
        <v>Jan</v>
      </c>
    </row>
    <row r="251" spans="1:11">
      <c r="A251" s="6">
        <v>1250</v>
      </c>
      <c r="B251" s="6" t="s">
        <v>221</v>
      </c>
      <c r="C251" s="6" t="s">
        <v>29</v>
      </c>
      <c r="D251" s="6" t="s">
        <v>30</v>
      </c>
      <c r="E251" s="6" t="s">
        <v>14</v>
      </c>
      <c r="F251" s="6" t="s">
        <v>15</v>
      </c>
      <c r="G251" s="6">
        <v>4</v>
      </c>
      <c r="H251" s="6">
        <v>8000</v>
      </c>
      <c r="I251" s="6">
        <v>32000</v>
      </c>
      <c r="J251" s="6" t="s">
        <v>38</v>
      </c>
      <c r="K251" s="6" t="str">
        <f>TEXT(Table1[[#This Row],[OrderDate]],"mmm")</f>
        <v>Apr</v>
      </c>
    </row>
    <row r="252" spans="1:11">
      <c r="A252" s="6">
        <v>1251</v>
      </c>
      <c r="B252" s="6" t="s">
        <v>180</v>
      </c>
      <c r="C252" s="6" t="s">
        <v>22</v>
      </c>
      <c r="D252" s="6" t="s">
        <v>18</v>
      </c>
      <c r="E252" s="6" t="s">
        <v>26</v>
      </c>
      <c r="F252" s="6" t="s">
        <v>27</v>
      </c>
      <c r="G252" s="6">
        <v>4</v>
      </c>
      <c r="H252" s="6">
        <v>15000</v>
      </c>
      <c r="I252" s="6">
        <v>60000</v>
      </c>
      <c r="J252" s="6" t="s">
        <v>38</v>
      </c>
      <c r="K252" s="6" t="str">
        <f>TEXT(Table1[[#This Row],[OrderDate]],"mmm")</f>
        <v>May</v>
      </c>
    </row>
    <row r="253" spans="1:11">
      <c r="A253" s="6">
        <v>1252</v>
      </c>
      <c r="B253" s="6" t="s">
        <v>222</v>
      </c>
      <c r="C253" s="6" t="s">
        <v>71</v>
      </c>
      <c r="D253" s="6" t="s">
        <v>23</v>
      </c>
      <c r="E253" s="6" t="s">
        <v>50</v>
      </c>
      <c r="F253" s="6" t="s">
        <v>51</v>
      </c>
      <c r="G253" s="6">
        <v>2</v>
      </c>
      <c r="H253" s="6">
        <v>2000</v>
      </c>
      <c r="I253" s="6">
        <v>4000</v>
      </c>
      <c r="J253" s="6" t="s">
        <v>34</v>
      </c>
      <c r="K253" s="6" t="str">
        <f>TEXT(Table1[[#This Row],[OrderDate]],"mmm")</f>
        <v>Dec</v>
      </c>
    </row>
    <row r="254" spans="1:11">
      <c r="A254" s="6">
        <v>1253</v>
      </c>
      <c r="B254" s="6" t="s">
        <v>160</v>
      </c>
      <c r="C254" s="6" t="s">
        <v>32</v>
      </c>
      <c r="D254" s="6" t="s">
        <v>13</v>
      </c>
      <c r="E254" s="6" t="s">
        <v>26</v>
      </c>
      <c r="F254" s="6" t="s">
        <v>27</v>
      </c>
      <c r="G254" s="6">
        <v>2</v>
      </c>
      <c r="H254" s="6">
        <v>15000</v>
      </c>
      <c r="I254" s="6">
        <v>30000</v>
      </c>
      <c r="J254" s="6" t="s">
        <v>16</v>
      </c>
      <c r="K254" s="6" t="str">
        <f>TEXT(Table1[[#This Row],[OrderDate]],"mmm")</f>
        <v>Jul</v>
      </c>
    </row>
    <row r="255" spans="1:11">
      <c r="A255" s="6">
        <v>1254</v>
      </c>
      <c r="B255" s="6" t="s">
        <v>136</v>
      </c>
      <c r="C255" s="6" t="s">
        <v>29</v>
      </c>
      <c r="D255" s="6" t="s">
        <v>18</v>
      </c>
      <c r="E255" s="6" t="s">
        <v>43</v>
      </c>
      <c r="F255" s="6" t="s">
        <v>44</v>
      </c>
      <c r="G255" s="6">
        <v>3</v>
      </c>
      <c r="H255" s="6">
        <v>150</v>
      </c>
      <c r="I255" s="6">
        <v>450</v>
      </c>
      <c r="J255" s="6" t="s">
        <v>16</v>
      </c>
      <c r="K255" s="6" t="str">
        <f>TEXT(Table1[[#This Row],[OrderDate]],"mmm")</f>
        <v>Oct</v>
      </c>
    </row>
    <row r="256" spans="1:11">
      <c r="A256" s="6">
        <v>1255</v>
      </c>
      <c r="B256" s="6" t="s">
        <v>74</v>
      </c>
      <c r="C256" s="6" t="s">
        <v>54</v>
      </c>
      <c r="D256" s="6" t="s">
        <v>13</v>
      </c>
      <c r="E256" s="6" t="s">
        <v>57</v>
      </c>
      <c r="F256" s="6" t="s">
        <v>44</v>
      </c>
      <c r="G256" s="6">
        <v>5</v>
      </c>
      <c r="H256" s="6">
        <v>20</v>
      </c>
      <c r="I256" s="6">
        <v>100</v>
      </c>
      <c r="J256" s="6" t="s">
        <v>34</v>
      </c>
      <c r="K256" s="6" t="str">
        <f>TEXT(Table1[[#This Row],[OrderDate]],"mmm")</f>
        <v>Oct</v>
      </c>
    </row>
    <row r="257" spans="1:11">
      <c r="A257" s="6">
        <v>1256</v>
      </c>
      <c r="B257" s="6" t="s">
        <v>109</v>
      </c>
      <c r="C257" s="6" t="s">
        <v>12</v>
      </c>
      <c r="D257" s="6" t="s">
        <v>18</v>
      </c>
      <c r="E257" s="6" t="s">
        <v>40</v>
      </c>
      <c r="F257" s="6" t="s">
        <v>27</v>
      </c>
      <c r="G257" s="6">
        <v>4</v>
      </c>
      <c r="H257" s="6">
        <v>20000</v>
      </c>
      <c r="I257" s="6">
        <v>80000</v>
      </c>
      <c r="J257" s="6" t="s">
        <v>34</v>
      </c>
      <c r="K257" s="6" t="str">
        <f>TEXT(Table1[[#This Row],[OrderDate]],"mmm")</f>
        <v>Nov</v>
      </c>
    </row>
    <row r="258" spans="1:11">
      <c r="A258" s="6">
        <v>1257</v>
      </c>
      <c r="B258" s="6" t="s">
        <v>223</v>
      </c>
      <c r="C258" s="6" t="s">
        <v>25</v>
      </c>
      <c r="D258" s="6" t="s">
        <v>30</v>
      </c>
      <c r="E258" s="6" t="s">
        <v>26</v>
      </c>
      <c r="F258" s="6" t="s">
        <v>27</v>
      </c>
      <c r="G258" s="6">
        <v>5</v>
      </c>
      <c r="H258" s="6">
        <v>15000</v>
      </c>
      <c r="I258" s="6">
        <v>75000</v>
      </c>
      <c r="J258" s="6" t="s">
        <v>16</v>
      </c>
      <c r="K258" s="6" t="str">
        <f>TEXT(Table1[[#This Row],[OrderDate]],"mmm")</f>
        <v>Nov</v>
      </c>
    </row>
    <row r="259" spans="1:11">
      <c r="A259" s="6">
        <v>1258</v>
      </c>
      <c r="B259" s="6" t="s">
        <v>224</v>
      </c>
      <c r="C259" s="6" t="s">
        <v>32</v>
      </c>
      <c r="D259" s="6" t="s">
        <v>13</v>
      </c>
      <c r="E259" s="6" t="s">
        <v>57</v>
      </c>
      <c r="F259" s="6" t="s">
        <v>44</v>
      </c>
      <c r="G259" s="6">
        <v>5</v>
      </c>
      <c r="H259" s="6">
        <v>20</v>
      </c>
      <c r="I259" s="6">
        <v>100</v>
      </c>
      <c r="J259" s="6" t="s">
        <v>20</v>
      </c>
      <c r="K259" s="6" t="str">
        <f>TEXT(Table1[[#This Row],[OrderDate]],"mmm")</f>
        <v>Sep</v>
      </c>
    </row>
    <row r="260" spans="1:11">
      <c r="A260" s="6">
        <v>1259</v>
      </c>
      <c r="B260" s="6" t="s">
        <v>225</v>
      </c>
      <c r="C260" s="6" t="s">
        <v>71</v>
      </c>
      <c r="D260" s="6" t="s">
        <v>30</v>
      </c>
      <c r="E260" s="6" t="s">
        <v>14</v>
      </c>
      <c r="F260" s="6" t="s">
        <v>15</v>
      </c>
      <c r="G260" s="6">
        <v>1</v>
      </c>
      <c r="H260" s="6">
        <v>8000</v>
      </c>
      <c r="I260" s="6">
        <v>8000</v>
      </c>
      <c r="J260" s="6" t="s">
        <v>16</v>
      </c>
      <c r="K260" s="6" t="str">
        <f>TEXT(Table1[[#This Row],[OrderDate]],"mmm")</f>
        <v>Jun</v>
      </c>
    </row>
    <row r="261" spans="1:11">
      <c r="A261" s="6">
        <v>1260</v>
      </c>
      <c r="B261" s="6" t="s">
        <v>149</v>
      </c>
      <c r="C261" s="6" t="s">
        <v>60</v>
      </c>
      <c r="D261" s="6" t="s">
        <v>30</v>
      </c>
      <c r="E261" s="6" t="s">
        <v>57</v>
      </c>
      <c r="F261" s="6" t="s">
        <v>44</v>
      </c>
      <c r="G261" s="6">
        <v>1</v>
      </c>
      <c r="H261" s="6">
        <v>20</v>
      </c>
      <c r="I261" s="6">
        <v>20</v>
      </c>
      <c r="J261" s="6" t="s">
        <v>16</v>
      </c>
      <c r="K261" s="6" t="str">
        <f>TEXT(Table1[[#This Row],[OrderDate]],"mmm")</f>
        <v>Oct</v>
      </c>
    </row>
    <row r="262" spans="1:11">
      <c r="A262" s="6">
        <v>1261</v>
      </c>
      <c r="B262" s="6" t="s">
        <v>226</v>
      </c>
      <c r="C262" s="6" t="s">
        <v>29</v>
      </c>
      <c r="D262" s="6" t="s">
        <v>18</v>
      </c>
      <c r="E262" s="6" t="s">
        <v>43</v>
      </c>
      <c r="F262" s="6" t="s">
        <v>44</v>
      </c>
      <c r="G262" s="6">
        <v>2</v>
      </c>
      <c r="H262" s="6">
        <v>150</v>
      </c>
      <c r="I262" s="6">
        <v>300</v>
      </c>
      <c r="J262" s="6" t="s">
        <v>20</v>
      </c>
      <c r="K262" s="6" t="str">
        <f>TEXT(Table1[[#This Row],[OrderDate]],"mmm")</f>
        <v>Sep</v>
      </c>
    </row>
    <row r="263" spans="1:11">
      <c r="A263" s="6">
        <v>1262</v>
      </c>
      <c r="B263" s="6" t="s">
        <v>227</v>
      </c>
      <c r="C263" s="6" t="s">
        <v>12</v>
      </c>
      <c r="D263" s="6" t="s">
        <v>18</v>
      </c>
      <c r="E263" s="6" t="s">
        <v>43</v>
      </c>
      <c r="F263" s="6" t="s">
        <v>44</v>
      </c>
      <c r="G263" s="6">
        <v>2</v>
      </c>
      <c r="H263" s="6">
        <v>150</v>
      </c>
      <c r="I263" s="6">
        <v>300</v>
      </c>
      <c r="J263" s="6" t="s">
        <v>38</v>
      </c>
      <c r="K263" s="6" t="str">
        <f>TEXT(Table1[[#This Row],[OrderDate]],"mmm")</f>
        <v>Nov</v>
      </c>
    </row>
    <row r="264" spans="1:11">
      <c r="A264" s="6">
        <v>1263</v>
      </c>
      <c r="B264" s="6" t="s">
        <v>228</v>
      </c>
      <c r="C264" s="6" t="s">
        <v>54</v>
      </c>
      <c r="D264" s="6" t="s">
        <v>23</v>
      </c>
      <c r="E264" s="6" t="s">
        <v>19</v>
      </c>
      <c r="F264" s="6" t="s">
        <v>15</v>
      </c>
      <c r="G264" s="6">
        <v>2</v>
      </c>
      <c r="H264" s="6">
        <v>4500</v>
      </c>
      <c r="I264" s="6">
        <v>9000</v>
      </c>
      <c r="J264" s="6" t="s">
        <v>34</v>
      </c>
      <c r="K264" s="6" t="str">
        <f>TEXT(Table1[[#This Row],[OrderDate]],"mmm")</f>
        <v>Jul</v>
      </c>
    </row>
    <row r="265" spans="1:11">
      <c r="A265" s="6">
        <v>1264</v>
      </c>
      <c r="B265" s="6" t="s">
        <v>70</v>
      </c>
      <c r="C265" s="6" t="s">
        <v>32</v>
      </c>
      <c r="D265" s="6" t="s">
        <v>18</v>
      </c>
      <c r="E265" s="6" t="s">
        <v>40</v>
      </c>
      <c r="F265" s="6" t="s">
        <v>27</v>
      </c>
      <c r="G265" s="6">
        <v>5</v>
      </c>
      <c r="H265" s="6">
        <v>20000</v>
      </c>
      <c r="I265" s="6">
        <v>100000</v>
      </c>
      <c r="J265" s="6" t="s">
        <v>20</v>
      </c>
      <c r="K265" s="6" t="str">
        <f>TEXT(Table1[[#This Row],[OrderDate]],"mmm")</f>
        <v>Mar</v>
      </c>
    </row>
    <row r="266" spans="1:11">
      <c r="A266" s="6">
        <v>1265</v>
      </c>
      <c r="B266" s="6" t="s">
        <v>229</v>
      </c>
      <c r="C266" s="6" t="s">
        <v>29</v>
      </c>
      <c r="D266" s="6" t="s">
        <v>13</v>
      </c>
      <c r="E266" s="6" t="s">
        <v>40</v>
      </c>
      <c r="F266" s="6" t="s">
        <v>27</v>
      </c>
      <c r="G266" s="6">
        <v>4</v>
      </c>
      <c r="H266" s="6">
        <v>20000</v>
      </c>
      <c r="I266" s="6">
        <v>80000</v>
      </c>
      <c r="J266" s="6" t="s">
        <v>20</v>
      </c>
      <c r="K266" s="6" t="str">
        <f>TEXT(Table1[[#This Row],[OrderDate]],"mmm")</f>
        <v>Dec</v>
      </c>
    </row>
    <row r="267" spans="1:11">
      <c r="A267" s="6">
        <v>1266</v>
      </c>
      <c r="B267" s="6" t="s">
        <v>107</v>
      </c>
      <c r="C267" s="6" t="s">
        <v>12</v>
      </c>
      <c r="D267" s="6" t="s">
        <v>30</v>
      </c>
      <c r="E267" s="6" t="s">
        <v>26</v>
      </c>
      <c r="F267" s="6" t="s">
        <v>27</v>
      </c>
      <c r="G267" s="6">
        <v>3</v>
      </c>
      <c r="H267" s="6">
        <v>15000</v>
      </c>
      <c r="I267" s="6">
        <v>45000</v>
      </c>
      <c r="J267" s="6" t="s">
        <v>20</v>
      </c>
      <c r="K267" s="6" t="str">
        <f>TEXT(Table1[[#This Row],[OrderDate]],"mmm")</f>
        <v>Mar</v>
      </c>
    </row>
    <row r="268" spans="1:11">
      <c r="A268" s="6">
        <v>1267</v>
      </c>
      <c r="B268" s="6" t="s">
        <v>196</v>
      </c>
      <c r="C268" s="6" t="s">
        <v>32</v>
      </c>
      <c r="D268" s="6" t="s">
        <v>13</v>
      </c>
      <c r="E268" s="6" t="s">
        <v>19</v>
      </c>
      <c r="F268" s="6" t="s">
        <v>15</v>
      </c>
      <c r="G268" s="6">
        <v>5</v>
      </c>
      <c r="H268" s="6">
        <v>4500</v>
      </c>
      <c r="I268" s="6">
        <v>22500</v>
      </c>
      <c r="J268" s="6" t="s">
        <v>34</v>
      </c>
      <c r="K268" s="6" t="str">
        <f>TEXT(Table1[[#This Row],[OrderDate]],"mmm")</f>
        <v>Sep</v>
      </c>
    </row>
    <row r="269" spans="1:11">
      <c r="A269" s="6">
        <v>1268</v>
      </c>
      <c r="B269" s="6" t="s">
        <v>230</v>
      </c>
      <c r="C269" s="6" t="s">
        <v>47</v>
      </c>
      <c r="D269" s="6" t="s">
        <v>23</v>
      </c>
      <c r="E269" s="6" t="s">
        <v>26</v>
      </c>
      <c r="F269" s="6" t="s">
        <v>27</v>
      </c>
      <c r="G269" s="6">
        <v>4</v>
      </c>
      <c r="H269" s="6">
        <v>15000</v>
      </c>
      <c r="I269" s="6">
        <v>60000</v>
      </c>
      <c r="J269" s="6" t="s">
        <v>34</v>
      </c>
      <c r="K269" s="6" t="str">
        <f>TEXT(Table1[[#This Row],[OrderDate]],"mmm")</f>
        <v>Jun</v>
      </c>
    </row>
    <row r="270" spans="1:11">
      <c r="A270" s="6">
        <v>1269</v>
      </c>
      <c r="B270" s="6" t="s">
        <v>231</v>
      </c>
      <c r="C270" s="6" t="s">
        <v>54</v>
      </c>
      <c r="D270" s="6" t="s">
        <v>18</v>
      </c>
      <c r="E270" s="6" t="s">
        <v>50</v>
      </c>
      <c r="F270" s="6" t="s">
        <v>51</v>
      </c>
      <c r="G270" s="6">
        <v>2</v>
      </c>
      <c r="H270" s="6">
        <v>2000</v>
      </c>
      <c r="I270" s="6">
        <v>4000</v>
      </c>
      <c r="J270" s="6" t="s">
        <v>34</v>
      </c>
      <c r="K270" s="6" t="str">
        <f>TEXT(Table1[[#This Row],[OrderDate]],"mmm")</f>
        <v>Mar</v>
      </c>
    </row>
    <row r="271" spans="1:11">
      <c r="A271" s="6">
        <v>1270</v>
      </c>
      <c r="B271" s="6" t="s">
        <v>232</v>
      </c>
      <c r="C271" s="6" t="s">
        <v>54</v>
      </c>
      <c r="D271" s="6" t="s">
        <v>23</v>
      </c>
      <c r="E271" s="6" t="s">
        <v>33</v>
      </c>
      <c r="F271" s="6" t="s">
        <v>27</v>
      </c>
      <c r="G271" s="6">
        <v>4</v>
      </c>
      <c r="H271" s="6">
        <v>55000</v>
      </c>
      <c r="I271" s="6">
        <v>220000</v>
      </c>
      <c r="J271" s="6" t="s">
        <v>16</v>
      </c>
      <c r="K271" s="6" t="str">
        <f>TEXT(Table1[[#This Row],[OrderDate]],"mmm")</f>
        <v>Oct</v>
      </c>
    </row>
    <row r="272" spans="1:11">
      <c r="A272" s="6">
        <v>1271</v>
      </c>
      <c r="B272" s="6" t="s">
        <v>143</v>
      </c>
      <c r="C272" s="6" t="s">
        <v>60</v>
      </c>
      <c r="D272" s="6" t="s">
        <v>30</v>
      </c>
      <c r="E272" s="6" t="s">
        <v>40</v>
      </c>
      <c r="F272" s="6" t="s">
        <v>27</v>
      </c>
      <c r="G272" s="6">
        <v>5</v>
      </c>
      <c r="H272" s="6">
        <v>20000</v>
      </c>
      <c r="I272" s="6">
        <v>100000</v>
      </c>
      <c r="J272" s="6" t="s">
        <v>38</v>
      </c>
      <c r="K272" s="6" t="str">
        <f>TEXT(Table1[[#This Row],[OrderDate]],"mmm")</f>
        <v>Jul</v>
      </c>
    </row>
    <row r="273" spans="1:11">
      <c r="A273" s="6">
        <v>1272</v>
      </c>
      <c r="B273" s="6" t="s">
        <v>148</v>
      </c>
      <c r="C273" s="6" t="s">
        <v>25</v>
      </c>
      <c r="D273" s="6" t="s">
        <v>23</v>
      </c>
      <c r="E273" s="6" t="s">
        <v>33</v>
      </c>
      <c r="F273" s="6" t="s">
        <v>27</v>
      </c>
      <c r="G273" s="6">
        <v>3</v>
      </c>
      <c r="H273" s="6">
        <v>55000</v>
      </c>
      <c r="I273" s="6">
        <v>165000</v>
      </c>
      <c r="J273" s="6" t="s">
        <v>34</v>
      </c>
      <c r="K273" s="6" t="str">
        <f>TEXT(Table1[[#This Row],[OrderDate]],"mmm")</f>
        <v>May</v>
      </c>
    </row>
    <row r="274" spans="1:11">
      <c r="A274" s="6">
        <v>1273</v>
      </c>
      <c r="B274" s="6" t="s">
        <v>233</v>
      </c>
      <c r="C274" s="6" t="s">
        <v>42</v>
      </c>
      <c r="D274" s="6" t="s">
        <v>13</v>
      </c>
      <c r="E274" s="6" t="s">
        <v>14</v>
      </c>
      <c r="F274" s="6" t="s">
        <v>15</v>
      </c>
      <c r="G274" s="6">
        <v>5</v>
      </c>
      <c r="H274" s="6">
        <v>8000</v>
      </c>
      <c r="I274" s="6">
        <v>40000</v>
      </c>
      <c r="J274" s="6" t="s">
        <v>16</v>
      </c>
      <c r="K274" s="6" t="str">
        <f>TEXT(Table1[[#This Row],[OrderDate]],"mmm")</f>
        <v>Nov</v>
      </c>
    </row>
    <row r="275" spans="1:11">
      <c r="A275" s="6">
        <v>1274</v>
      </c>
      <c r="B275" s="6" t="s">
        <v>121</v>
      </c>
      <c r="C275" s="6" t="s">
        <v>42</v>
      </c>
      <c r="D275" s="6" t="s">
        <v>23</v>
      </c>
      <c r="E275" s="6" t="s">
        <v>14</v>
      </c>
      <c r="F275" s="6" t="s">
        <v>15</v>
      </c>
      <c r="G275" s="6">
        <v>1</v>
      </c>
      <c r="H275" s="6">
        <v>8000</v>
      </c>
      <c r="I275" s="6">
        <v>8000</v>
      </c>
      <c r="J275" s="6" t="s">
        <v>38</v>
      </c>
      <c r="K275" s="6" t="str">
        <f>TEXT(Table1[[#This Row],[OrderDate]],"mmm")</f>
        <v>Feb</v>
      </c>
    </row>
    <row r="276" spans="1:11">
      <c r="A276" s="6">
        <v>1275</v>
      </c>
      <c r="B276" s="6" t="s">
        <v>96</v>
      </c>
      <c r="C276" s="6" t="s">
        <v>25</v>
      </c>
      <c r="D276" s="6" t="s">
        <v>30</v>
      </c>
      <c r="E276" s="6" t="s">
        <v>33</v>
      </c>
      <c r="F276" s="6" t="s">
        <v>27</v>
      </c>
      <c r="G276" s="6">
        <v>3</v>
      </c>
      <c r="H276" s="6">
        <v>55000</v>
      </c>
      <c r="I276" s="6">
        <v>165000</v>
      </c>
      <c r="J276" s="6" t="s">
        <v>16</v>
      </c>
      <c r="K276" s="6" t="str">
        <f>TEXT(Table1[[#This Row],[OrderDate]],"mmm")</f>
        <v>Sep</v>
      </c>
    </row>
    <row r="277" spans="1:11">
      <c r="A277" s="6">
        <v>1276</v>
      </c>
      <c r="B277" s="6" t="s">
        <v>137</v>
      </c>
      <c r="C277" s="6" t="s">
        <v>22</v>
      </c>
      <c r="D277" s="6" t="s">
        <v>13</v>
      </c>
      <c r="E277" s="6" t="s">
        <v>40</v>
      </c>
      <c r="F277" s="6" t="s">
        <v>27</v>
      </c>
      <c r="G277" s="6">
        <v>4</v>
      </c>
      <c r="H277" s="6">
        <v>20000</v>
      </c>
      <c r="I277" s="6">
        <v>80000</v>
      </c>
      <c r="J277" s="6" t="s">
        <v>20</v>
      </c>
      <c r="K277" s="6" t="str">
        <f>TEXT(Table1[[#This Row],[OrderDate]],"mmm")</f>
        <v>Oct</v>
      </c>
    </row>
    <row r="278" spans="1:11">
      <c r="A278" s="6">
        <v>1277</v>
      </c>
      <c r="B278" s="6" t="s">
        <v>136</v>
      </c>
      <c r="C278" s="6" t="s">
        <v>60</v>
      </c>
      <c r="D278" s="6" t="s">
        <v>18</v>
      </c>
      <c r="E278" s="6" t="s">
        <v>57</v>
      </c>
      <c r="F278" s="6" t="s">
        <v>44</v>
      </c>
      <c r="G278" s="6">
        <v>1</v>
      </c>
      <c r="H278" s="6">
        <v>20</v>
      </c>
      <c r="I278" s="6">
        <v>20</v>
      </c>
      <c r="J278" s="6" t="s">
        <v>34</v>
      </c>
      <c r="K278" s="6" t="str">
        <f>TEXT(Table1[[#This Row],[OrderDate]],"mmm")</f>
        <v>Oct</v>
      </c>
    </row>
    <row r="279" spans="1:11">
      <c r="A279" s="6">
        <v>1278</v>
      </c>
      <c r="B279" s="6" t="s">
        <v>234</v>
      </c>
      <c r="C279" s="6" t="s">
        <v>47</v>
      </c>
      <c r="D279" s="6" t="s">
        <v>23</v>
      </c>
      <c r="E279" s="6" t="s">
        <v>19</v>
      </c>
      <c r="F279" s="6" t="s">
        <v>15</v>
      </c>
      <c r="G279" s="6">
        <v>5</v>
      </c>
      <c r="H279" s="6">
        <v>4500</v>
      </c>
      <c r="I279" s="6">
        <v>22500</v>
      </c>
      <c r="J279" s="6" t="s">
        <v>34</v>
      </c>
      <c r="K279" s="6" t="str">
        <f>TEXT(Table1[[#This Row],[OrderDate]],"mmm")</f>
        <v>Mar</v>
      </c>
    </row>
    <row r="280" spans="1:11">
      <c r="A280" s="6">
        <v>1279</v>
      </c>
      <c r="B280" s="6" t="s">
        <v>235</v>
      </c>
      <c r="C280" s="6" t="s">
        <v>12</v>
      </c>
      <c r="D280" s="6" t="s">
        <v>30</v>
      </c>
      <c r="E280" s="6" t="s">
        <v>33</v>
      </c>
      <c r="F280" s="6" t="s">
        <v>27</v>
      </c>
      <c r="G280" s="6">
        <v>2</v>
      </c>
      <c r="H280" s="6">
        <v>55000</v>
      </c>
      <c r="I280" s="6">
        <v>110000</v>
      </c>
      <c r="J280" s="6" t="s">
        <v>16</v>
      </c>
      <c r="K280" s="6" t="str">
        <f>TEXT(Table1[[#This Row],[OrderDate]],"mmm")</f>
        <v>Jan</v>
      </c>
    </row>
    <row r="281" spans="1:11">
      <c r="A281" s="6">
        <v>1280</v>
      </c>
      <c r="B281" s="6" t="s">
        <v>236</v>
      </c>
      <c r="C281" s="6" t="s">
        <v>42</v>
      </c>
      <c r="D281" s="6" t="s">
        <v>13</v>
      </c>
      <c r="E281" s="6" t="s">
        <v>40</v>
      </c>
      <c r="F281" s="6" t="s">
        <v>27</v>
      </c>
      <c r="G281" s="6">
        <v>2</v>
      </c>
      <c r="H281" s="6">
        <v>20000</v>
      </c>
      <c r="I281" s="6">
        <v>40000</v>
      </c>
      <c r="J281" s="6" t="s">
        <v>20</v>
      </c>
      <c r="K281" s="6" t="str">
        <f>TEXT(Table1[[#This Row],[OrderDate]],"mmm")</f>
        <v>Apr</v>
      </c>
    </row>
    <row r="282" spans="1:11">
      <c r="A282" s="6">
        <v>1281</v>
      </c>
      <c r="B282" s="6" t="s">
        <v>225</v>
      </c>
      <c r="C282" s="6" t="s">
        <v>47</v>
      </c>
      <c r="D282" s="6" t="s">
        <v>18</v>
      </c>
      <c r="E282" s="6" t="s">
        <v>26</v>
      </c>
      <c r="F282" s="6" t="s">
        <v>27</v>
      </c>
      <c r="G282" s="6">
        <v>1</v>
      </c>
      <c r="H282" s="6">
        <v>15000</v>
      </c>
      <c r="I282" s="6">
        <v>15000</v>
      </c>
      <c r="J282" s="6" t="s">
        <v>16</v>
      </c>
      <c r="K282" s="6" t="str">
        <f>TEXT(Table1[[#This Row],[OrderDate]],"mmm")</f>
        <v>Jun</v>
      </c>
    </row>
    <row r="283" spans="1:11">
      <c r="A283" s="6">
        <v>1282</v>
      </c>
      <c r="B283" s="6" t="s">
        <v>237</v>
      </c>
      <c r="C283" s="6" t="s">
        <v>22</v>
      </c>
      <c r="D283" s="6" t="s">
        <v>18</v>
      </c>
      <c r="E283" s="6" t="s">
        <v>14</v>
      </c>
      <c r="F283" s="6" t="s">
        <v>15</v>
      </c>
      <c r="G283" s="6">
        <v>4</v>
      </c>
      <c r="H283" s="6">
        <v>8000</v>
      </c>
      <c r="I283" s="6">
        <v>32000</v>
      </c>
      <c r="J283" s="6" t="s">
        <v>34</v>
      </c>
      <c r="K283" s="6" t="str">
        <f>TEXT(Table1[[#This Row],[OrderDate]],"mmm")</f>
        <v>Aug</v>
      </c>
    </row>
    <row r="284" spans="1:11">
      <c r="A284" s="6">
        <v>1283</v>
      </c>
      <c r="B284" s="6" t="s">
        <v>135</v>
      </c>
      <c r="C284" s="6" t="s">
        <v>54</v>
      </c>
      <c r="D284" s="6" t="s">
        <v>18</v>
      </c>
      <c r="E284" s="6" t="s">
        <v>40</v>
      </c>
      <c r="F284" s="6" t="s">
        <v>27</v>
      </c>
      <c r="G284" s="6">
        <v>5</v>
      </c>
      <c r="H284" s="6">
        <v>20000</v>
      </c>
      <c r="I284" s="6">
        <v>100000</v>
      </c>
      <c r="J284" s="6" t="s">
        <v>16</v>
      </c>
      <c r="K284" s="6" t="str">
        <f>TEXT(Table1[[#This Row],[OrderDate]],"mmm")</f>
        <v>Apr</v>
      </c>
    </row>
    <row r="285" spans="1:11">
      <c r="A285" s="6">
        <v>1284</v>
      </c>
      <c r="B285" s="6" t="s">
        <v>238</v>
      </c>
      <c r="C285" s="6" t="s">
        <v>22</v>
      </c>
      <c r="D285" s="6" t="s">
        <v>13</v>
      </c>
      <c r="E285" s="6" t="s">
        <v>33</v>
      </c>
      <c r="F285" s="6" t="s">
        <v>27</v>
      </c>
      <c r="G285" s="6">
        <v>3</v>
      </c>
      <c r="H285" s="6">
        <v>55000</v>
      </c>
      <c r="I285" s="6">
        <v>165000</v>
      </c>
      <c r="J285" s="6" t="s">
        <v>16</v>
      </c>
      <c r="K285" s="6" t="str">
        <f>TEXT(Table1[[#This Row],[OrderDate]],"mmm")</f>
        <v>Dec</v>
      </c>
    </row>
    <row r="286" spans="1:11">
      <c r="A286" s="6">
        <v>1285</v>
      </c>
      <c r="B286" s="6" t="s">
        <v>232</v>
      </c>
      <c r="C286" s="6" t="s">
        <v>22</v>
      </c>
      <c r="D286" s="6" t="s">
        <v>18</v>
      </c>
      <c r="E286" s="6" t="s">
        <v>19</v>
      </c>
      <c r="F286" s="6" t="s">
        <v>15</v>
      </c>
      <c r="G286" s="6">
        <v>4</v>
      </c>
      <c r="H286" s="6">
        <v>4500</v>
      </c>
      <c r="I286" s="6">
        <v>18000</v>
      </c>
      <c r="J286" s="6" t="s">
        <v>20</v>
      </c>
      <c r="K286" s="6" t="str">
        <f>TEXT(Table1[[#This Row],[OrderDate]],"mmm")</f>
        <v>Oct</v>
      </c>
    </row>
    <row r="287" spans="1:11">
      <c r="A287" s="6">
        <v>1286</v>
      </c>
      <c r="B287" s="6" t="s">
        <v>120</v>
      </c>
      <c r="C287" s="6" t="s">
        <v>29</v>
      </c>
      <c r="D287" s="6" t="s">
        <v>30</v>
      </c>
      <c r="E287" s="6" t="s">
        <v>14</v>
      </c>
      <c r="F287" s="6" t="s">
        <v>15</v>
      </c>
      <c r="G287" s="6">
        <v>1</v>
      </c>
      <c r="H287" s="6">
        <v>8000</v>
      </c>
      <c r="I287" s="6">
        <v>8000</v>
      </c>
      <c r="J287" s="6" t="s">
        <v>38</v>
      </c>
      <c r="K287" s="6" t="str">
        <f>TEXT(Table1[[#This Row],[OrderDate]],"mmm")</f>
        <v>Aug</v>
      </c>
    </row>
    <row r="288" spans="1:11">
      <c r="A288" s="6">
        <v>1287</v>
      </c>
      <c r="B288" s="6" t="s">
        <v>124</v>
      </c>
      <c r="C288" s="6" t="s">
        <v>32</v>
      </c>
      <c r="D288" s="6" t="s">
        <v>23</v>
      </c>
      <c r="E288" s="6" t="s">
        <v>26</v>
      </c>
      <c r="F288" s="6" t="s">
        <v>27</v>
      </c>
      <c r="G288" s="6">
        <v>5</v>
      </c>
      <c r="H288" s="6">
        <v>15000</v>
      </c>
      <c r="I288" s="6">
        <v>75000</v>
      </c>
      <c r="J288" s="6" t="s">
        <v>16</v>
      </c>
      <c r="K288" s="6" t="str">
        <f>TEXT(Table1[[#This Row],[OrderDate]],"mmm")</f>
        <v>Jan</v>
      </c>
    </row>
    <row r="289" spans="1:11">
      <c r="A289" s="6">
        <v>1288</v>
      </c>
      <c r="B289" s="6" t="s">
        <v>239</v>
      </c>
      <c r="C289" s="6" t="s">
        <v>29</v>
      </c>
      <c r="D289" s="6" t="s">
        <v>18</v>
      </c>
      <c r="E289" s="6" t="s">
        <v>26</v>
      </c>
      <c r="F289" s="6" t="s">
        <v>27</v>
      </c>
      <c r="G289" s="6">
        <v>1</v>
      </c>
      <c r="H289" s="6">
        <v>15000</v>
      </c>
      <c r="I289" s="6">
        <v>15000</v>
      </c>
      <c r="J289" s="6" t="s">
        <v>20</v>
      </c>
      <c r="K289" s="6" t="str">
        <f>TEXT(Table1[[#This Row],[OrderDate]],"mmm")</f>
        <v>Nov</v>
      </c>
    </row>
    <row r="290" spans="1:11">
      <c r="A290" s="6">
        <v>1289</v>
      </c>
      <c r="B290" s="6" t="s">
        <v>108</v>
      </c>
      <c r="C290" s="6" t="s">
        <v>12</v>
      </c>
      <c r="D290" s="6" t="s">
        <v>18</v>
      </c>
      <c r="E290" s="6" t="s">
        <v>40</v>
      </c>
      <c r="F290" s="6" t="s">
        <v>27</v>
      </c>
      <c r="G290" s="6">
        <v>5</v>
      </c>
      <c r="H290" s="6">
        <v>20000</v>
      </c>
      <c r="I290" s="6">
        <v>100000</v>
      </c>
      <c r="J290" s="6" t="s">
        <v>38</v>
      </c>
      <c r="K290" s="6" t="str">
        <f>TEXT(Table1[[#This Row],[OrderDate]],"mmm")</f>
        <v>Jan</v>
      </c>
    </row>
    <row r="291" spans="1:11">
      <c r="A291" s="6">
        <v>1290</v>
      </c>
      <c r="B291" s="6" t="s">
        <v>98</v>
      </c>
      <c r="C291" s="6" t="s">
        <v>71</v>
      </c>
      <c r="D291" s="6" t="s">
        <v>23</v>
      </c>
      <c r="E291" s="6" t="s">
        <v>40</v>
      </c>
      <c r="F291" s="6" t="s">
        <v>27</v>
      </c>
      <c r="G291" s="6">
        <v>5</v>
      </c>
      <c r="H291" s="6">
        <v>20000</v>
      </c>
      <c r="I291" s="6">
        <v>100000</v>
      </c>
      <c r="J291" s="6" t="s">
        <v>38</v>
      </c>
      <c r="K291" s="6" t="str">
        <f>TEXT(Table1[[#This Row],[OrderDate]],"mmm")</f>
        <v>Nov</v>
      </c>
    </row>
    <row r="292" spans="1:11">
      <c r="A292" s="6">
        <v>1291</v>
      </c>
      <c r="B292" s="6" t="s">
        <v>80</v>
      </c>
      <c r="C292" s="6" t="s">
        <v>42</v>
      </c>
      <c r="D292" s="6" t="s">
        <v>18</v>
      </c>
      <c r="E292" s="6" t="s">
        <v>43</v>
      </c>
      <c r="F292" s="6" t="s">
        <v>44</v>
      </c>
      <c r="G292" s="6">
        <v>2</v>
      </c>
      <c r="H292" s="6">
        <v>150</v>
      </c>
      <c r="I292" s="6">
        <v>300</v>
      </c>
      <c r="J292" s="6" t="s">
        <v>16</v>
      </c>
      <c r="K292" s="6" t="str">
        <f>TEXT(Table1[[#This Row],[OrderDate]],"mmm")</f>
        <v>May</v>
      </c>
    </row>
    <row r="293" spans="1:11">
      <c r="A293" s="6">
        <v>1292</v>
      </c>
      <c r="B293" s="6" t="s">
        <v>107</v>
      </c>
      <c r="C293" s="6" t="s">
        <v>47</v>
      </c>
      <c r="D293" s="6" t="s">
        <v>18</v>
      </c>
      <c r="E293" s="6" t="s">
        <v>19</v>
      </c>
      <c r="F293" s="6" t="s">
        <v>15</v>
      </c>
      <c r="G293" s="6">
        <v>1</v>
      </c>
      <c r="H293" s="6">
        <v>4500</v>
      </c>
      <c r="I293" s="6">
        <v>4500</v>
      </c>
      <c r="J293" s="6" t="s">
        <v>38</v>
      </c>
      <c r="K293" s="6" t="str">
        <f>TEXT(Table1[[#This Row],[OrderDate]],"mmm")</f>
        <v>Mar</v>
      </c>
    </row>
    <row r="294" spans="1:11">
      <c r="A294" s="6">
        <v>1293</v>
      </c>
      <c r="B294" s="6" t="s">
        <v>240</v>
      </c>
      <c r="C294" s="6" t="s">
        <v>29</v>
      </c>
      <c r="D294" s="6" t="s">
        <v>23</v>
      </c>
      <c r="E294" s="6" t="s">
        <v>33</v>
      </c>
      <c r="F294" s="6" t="s">
        <v>27</v>
      </c>
      <c r="G294" s="6">
        <v>1</v>
      </c>
      <c r="H294" s="6">
        <v>55000</v>
      </c>
      <c r="I294" s="6">
        <v>55000</v>
      </c>
      <c r="J294" s="6" t="s">
        <v>20</v>
      </c>
      <c r="K294" s="6" t="str">
        <f>TEXT(Table1[[#This Row],[OrderDate]],"mmm")</f>
        <v>Dec</v>
      </c>
    </row>
    <row r="295" spans="1:11">
      <c r="A295" s="6">
        <v>1294</v>
      </c>
      <c r="B295" s="6" t="s">
        <v>55</v>
      </c>
      <c r="C295" s="6" t="s">
        <v>29</v>
      </c>
      <c r="D295" s="6" t="s">
        <v>13</v>
      </c>
      <c r="E295" s="6" t="s">
        <v>50</v>
      </c>
      <c r="F295" s="6" t="s">
        <v>51</v>
      </c>
      <c r="G295" s="6">
        <v>3</v>
      </c>
      <c r="H295" s="6">
        <v>2000</v>
      </c>
      <c r="I295" s="6">
        <v>6000</v>
      </c>
      <c r="J295" s="6" t="s">
        <v>20</v>
      </c>
      <c r="K295" s="6" t="str">
        <f>TEXT(Table1[[#This Row],[OrderDate]],"mmm")</f>
        <v>Jun</v>
      </c>
    </row>
    <row r="296" spans="1:11">
      <c r="A296" s="6">
        <v>1295</v>
      </c>
      <c r="B296" s="6" t="s">
        <v>170</v>
      </c>
      <c r="C296" s="6" t="s">
        <v>25</v>
      </c>
      <c r="D296" s="6" t="s">
        <v>23</v>
      </c>
      <c r="E296" s="6" t="s">
        <v>57</v>
      </c>
      <c r="F296" s="6" t="s">
        <v>44</v>
      </c>
      <c r="G296" s="6">
        <v>5</v>
      </c>
      <c r="H296" s="6">
        <v>20</v>
      </c>
      <c r="I296" s="6">
        <v>100</v>
      </c>
      <c r="J296" s="6" t="s">
        <v>34</v>
      </c>
      <c r="K296" s="6" t="str">
        <f>TEXT(Table1[[#This Row],[OrderDate]],"mmm")</f>
        <v>Dec</v>
      </c>
    </row>
    <row r="297" spans="1:11">
      <c r="A297" s="6">
        <v>1296</v>
      </c>
      <c r="B297" s="6" t="s">
        <v>58</v>
      </c>
      <c r="C297" s="6" t="s">
        <v>22</v>
      </c>
      <c r="D297" s="6" t="s">
        <v>23</v>
      </c>
      <c r="E297" s="6" t="s">
        <v>57</v>
      </c>
      <c r="F297" s="6" t="s">
        <v>44</v>
      </c>
      <c r="G297" s="6">
        <v>3</v>
      </c>
      <c r="H297" s="6">
        <v>20</v>
      </c>
      <c r="I297" s="6">
        <v>60</v>
      </c>
      <c r="J297" s="6" t="s">
        <v>16</v>
      </c>
      <c r="K297" s="6" t="str">
        <f>TEXT(Table1[[#This Row],[OrderDate]],"mmm")</f>
        <v>Jan</v>
      </c>
    </row>
    <row r="298" spans="1:11">
      <c r="A298" s="6">
        <v>1297</v>
      </c>
      <c r="B298" s="6" t="s">
        <v>135</v>
      </c>
      <c r="C298" s="6" t="s">
        <v>29</v>
      </c>
      <c r="D298" s="6" t="s">
        <v>13</v>
      </c>
      <c r="E298" s="6" t="s">
        <v>50</v>
      </c>
      <c r="F298" s="6" t="s">
        <v>51</v>
      </c>
      <c r="G298" s="6">
        <v>2</v>
      </c>
      <c r="H298" s="6">
        <v>2000</v>
      </c>
      <c r="I298" s="6">
        <v>4000</v>
      </c>
      <c r="J298" s="6" t="s">
        <v>38</v>
      </c>
      <c r="K298" s="6" t="str">
        <f>TEXT(Table1[[#This Row],[OrderDate]],"mmm")</f>
        <v>Apr</v>
      </c>
    </row>
    <row r="299" spans="1:11">
      <c r="A299" s="6">
        <v>1298</v>
      </c>
      <c r="B299" s="6" t="s">
        <v>241</v>
      </c>
      <c r="C299" s="6" t="s">
        <v>25</v>
      </c>
      <c r="D299" s="6" t="s">
        <v>13</v>
      </c>
      <c r="E299" s="6" t="s">
        <v>26</v>
      </c>
      <c r="F299" s="6" t="s">
        <v>27</v>
      </c>
      <c r="G299" s="6">
        <v>5</v>
      </c>
      <c r="H299" s="6">
        <v>15000</v>
      </c>
      <c r="I299" s="6">
        <v>75000</v>
      </c>
      <c r="J299" s="6" t="s">
        <v>16</v>
      </c>
      <c r="K299" s="6" t="str">
        <f>TEXT(Table1[[#This Row],[OrderDate]],"mmm")</f>
        <v>Dec</v>
      </c>
    </row>
    <row r="300" spans="1:11">
      <c r="A300" s="6">
        <v>1299</v>
      </c>
      <c r="B300" s="6" t="s">
        <v>113</v>
      </c>
      <c r="C300" s="6" t="s">
        <v>71</v>
      </c>
      <c r="D300" s="6" t="s">
        <v>30</v>
      </c>
      <c r="E300" s="6" t="s">
        <v>50</v>
      </c>
      <c r="F300" s="6" t="s">
        <v>51</v>
      </c>
      <c r="G300" s="6">
        <v>1</v>
      </c>
      <c r="H300" s="6">
        <v>2000</v>
      </c>
      <c r="I300" s="6">
        <v>2000</v>
      </c>
      <c r="J300" s="6" t="s">
        <v>20</v>
      </c>
      <c r="K300" s="6" t="str">
        <f>TEXT(Table1[[#This Row],[OrderDate]],"mmm")</f>
        <v>Jul</v>
      </c>
    </row>
    <row r="301" spans="1:11">
      <c r="A301" s="6">
        <v>1300</v>
      </c>
      <c r="B301" s="6" t="s">
        <v>242</v>
      </c>
      <c r="C301" s="6" t="s">
        <v>32</v>
      </c>
      <c r="D301" s="6" t="s">
        <v>23</v>
      </c>
      <c r="E301" s="6" t="s">
        <v>40</v>
      </c>
      <c r="F301" s="6" t="s">
        <v>27</v>
      </c>
      <c r="G301" s="6">
        <v>5</v>
      </c>
      <c r="H301" s="6">
        <v>20000</v>
      </c>
      <c r="I301" s="6">
        <v>100000</v>
      </c>
      <c r="J301" s="6" t="s">
        <v>34</v>
      </c>
      <c r="K301" s="6" t="str">
        <f>TEXT(Table1[[#This Row],[OrderDate]],"mmm")</f>
        <v>Jun</v>
      </c>
    </row>
    <row r="302" spans="1:11">
      <c r="A302" s="6">
        <v>1301</v>
      </c>
      <c r="B302" s="6" t="s">
        <v>17</v>
      </c>
      <c r="C302" s="6" t="s">
        <v>29</v>
      </c>
      <c r="D302" s="6" t="s">
        <v>23</v>
      </c>
      <c r="E302" s="6" t="s">
        <v>26</v>
      </c>
      <c r="F302" s="6" t="s">
        <v>27</v>
      </c>
      <c r="G302" s="6">
        <v>2</v>
      </c>
      <c r="H302" s="6">
        <v>15000</v>
      </c>
      <c r="I302" s="6">
        <v>30000</v>
      </c>
      <c r="J302" s="6" t="s">
        <v>38</v>
      </c>
      <c r="K302" s="6" t="str">
        <f>TEXT(Table1[[#This Row],[OrderDate]],"mmm")</f>
        <v>Jul</v>
      </c>
    </row>
    <row r="303" spans="1:11">
      <c r="A303" s="6">
        <v>1302</v>
      </c>
      <c r="B303" s="6" t="s">
        <v>243</v>
      </c>
      <c r="C303" s="6" t="s">
        <v>47</v>
      </c>
      <c r="D303" s="6" t="s">
        <v>13</v>
      </c>
      <c r="E303" s="6" t="s">
        <v>14</v>
      </c>
      <c r="F303" s="6" t="s">
        <v>15</v>
      </c>
      <c r="G303" s="6">
        <v>2</v>
      </c>
      <c r="H303" s="6">
        <v>8000</v>
      </c>
      <c r="I303" s="6">
        <v>16000</v>
      </c>
      <c r="J303" s="6" t="s">
        <v>34</v>
      </c>
      <c r="K303" s="6" t="str">
        <f>TEXT(Table1[[#This Row],[OrderDate]],"mmm")</f>
        <v>Jan</v>
      </c>
    </row>
    <row r="304" spans="1:11">
      <c r="A304" s="6">
        <v>1303</v>
      </c>
      <c r="B304" s="6" t="s">
        <v>244</v>
      </c>
      <c r="C304" s="6" t="s">
        <v>47</v>
      </c>
      <c r="D304" s="6" t="s">
        <v>30</v>
      </c>
      <c r="E304" s="6" t="s">
        <v>26</v>
      </c>
      <c r="F304" s="6" t="s">
        <v>27</v>
      </c>
      <c r="G304" s="6">
        <v>3</v>
      </c>
      <c r="H304" s="6">
        <v>15000</v>
      </c>
      <c r="I304" s="6">
        <v>45000</v>
      </c>
      <c r="J304" s="6" t="s">
        <v>34</v>
      </c>
      <c r="K304" s="6" t="str">
        <f>TEXT(Table1[[#This Row],[OrderDate]],"mmm")</f>
        <v>Apr</v>
      </c>
    </row>
    <row r="305" spans="1:11">
      <c r="A305" s="6">
        <v>1304</v>
      </c>
      <c r="B305" s="6" t="s">
        <v>90</v>
      </c>
      <c r="C305" s="6" t="s">
        <v>54</v>
      </c>
      <c r="D305" s="6" t="s">
        <v>23</v>
      </c>
      <c r="E305" s="6" t="s">
        <v>43</v>
      </c>
      <c r="F305" s="6" t="s">
        <v>44</v>
      </c>
      <c r="G305" s="6">
        <v>4</v>
      </c>
      <c r="H305" s="6">
        <v>150</v>
      </c>
      <c r="I305" s="6">
        <v>600</v>
      </c>
      <c r="J305" s="6" t="s">
        <v>34</v>
      </c>
      <c r="K305" s="6" t="str">
        <f>TEXT(Table1[[#This Row],[OrderDate]],"mmm")</f>
        <v>Sep</v>
      </c>
    </row>
    <row r="306" spans="1:11">
      <c r="A306" s="6">
        <v>1305</v>
      </c>
      <c r="B306" s="6" t="s">
        <v>245</v>
      </c>
      <c r="C306" s="6" t="s">
        <v>22</v>
      </c>
      <c r="D306" s="6" t="s">
        <v>23</v>
      </c>
      <c r="E306" s="6" t="s">
        <v>33</v>
      </c>
      <c r="F306" s="6" t="s">
        <v>27</v>
      </c>
      <c r="G306" s="6">
        <v>3</v>
      </c>
      <c r="H306" s="6">
        <v>55000</v>
      </c>
      <c r="I306" s="6">
        <v>165000</v>
      </c>
      <c r="J306" s="6" t="s">
        <v>38</v>
      </c>
      <c r="K306" s="6" t="str">
        <f>TEXT(Table1[[#This Row],[OrderDate]],"mmm")</f>
        <v>Aug</v>
      </c>
    </row>
    <row r="307" spans="1:11">
      <c r="A307" s="6">
        <v>1306</v>
      </c>
      <c r="B307" s="6" t="s">
        <v>246</v>
      </c>
      <c r="C307" s="6" t="s">
        <v>71</v>
      </c>
      <c r="D307" s="6" t="s">
        <v>23</v>
      </c>
      <c r="E307" s="6" t="s">
        <v>33</v>
      </c>
      <c r="F307" s="6" t="s">
        <v>27</v>
      </c>
      <c r="G307" s="6">
        <v>1</v>
      </c>
      <c r="H307" s="6">
        <v>55000</v>
      </c>
      <c r="I307" s="6">
        <v>55000</v>
      </c>
      <c r="J307" s="6" t="s">
        <v>20</v>
      </c>
      <c r="K307" s="6" t="str">
        <f>TEXT(Table1[[#This Row],[OrderDate]],"mmm")</f>
        <v>Jul</v>
      </c>
    </row>
    <row r="308" spans="1:11">
      <c r="A308" s="6">
        <v>1307</v>
      </c>
      <c r="B308" s="6" t="s">
        <v>230</v>
      </c>
      <c r="C308" s="6" t="s">
        <v>12</v>
      </c>
      <c r="D308" s="6" t="s">
        <v>30</v>
      </c>
      <c r="E308" s="6" t="s">
        <v>33</v>
      </c>
      <c r="F308" s="6" t="s">
        <v>27</v>
      </c>
      <c r="G308" s="6">
        <v>3</v>
      </c>
      <c r="H308" s="6">
        <v>55000</v>
      </c>
      <c r="I308" s="6">
        <v>165000</v>
      </c>
      <c r="J308" s="6" t="s">
        <v>38</v>
      </c>
      <c r="K308" s="6" t="str">
        <f>TEXT(Table1[[#This Row],[OrderDate]],"mmm")</f>
        <v>Jun</v>
      </c>
    </row>
    <row r="309" spans="1:11">
      <c r="A309" s="6">
        <v>1308</v>
      </c>
      <c r="B309" s="6" t="s">
        <v>247</v>
      </c>
      <c r="C309" s="6" t="s">
        <v>42</v>
      </c>
      <c r="D309" s="6" t="s">
        <v>13</v>
      </c>
      <c r="E309" s="6" t="s">
        <v>26</v>
      </c>
      <c r="F309" s="6" t="s">
        <v>27</v>
      </c>
      <c r="G309" s="6">
        <v>1</v>
      </c>
      <c r="H309" s="6">
        <v>15000</v>
      </c>
      <c r="I309" s="6">
        <v>15000</v>
      </c>
      <c r="J309" s="6" t="s">
        <v>38</v>
      </c>
      <c r="K309" s="6" t="str">
        <f>TEXT(Table1[[#This Row],[OrderDate]],"mmm")</f>
        <v>Sep</v>
      </c>
    </row>
    <row r="310" spans="1:11">
      <c r="A310" s="6">
        <v>1309</v>
      </c>
      <c r="B310" s="6" t="s">
        <v>179</v>
      </c>
      <c r="C310" s="6" t="s">
        <v>47</v>
      </c>
      <c r="D310" s="6" t="s">
        <v>30</v>
      </c>
      <c r="E310" s="6" t="s">
        <v>40</v>
      </c>
      <c r="F310" s="6" t="s">
        <v>27</v>
      </c>
      <c r="G310" s="6">
        <v>4</v>
      </c>
      <c r="H310" s="6">
        <v>20000</v>
      </c>
      <c r="I310" s="6">
        <v>80000</v>
      </c>
      <c r="J310" s="6" t="s">
        <v>20</v>
      </c>
      <c r="K310" s="6" t="str">
        <f>TEXT(Table1[[#This Row],[OrderDate]],"mmm")</f>
        <v>Sep</v>
      </c>
    </row>
    <row r="311" spans="1:11">
      <c r="A311" s="6">
        <v>1310</v>
      </c>
      <c r="B311" s="6" t="s">
        <v>184</v>
      </c>
      <c r="C311" s="6" t="s">
        <v>29</v>
      </c>
      <c r="D311" s="6" t="s">
        <v>23</v>
      </c>
      <c r="E311" s="6" t="s">
        <v>40</v>
      </c>
      <c r="F311" s="6" t="s">
        <v>27</v>
      </c>
      <c r="G311" s="6">
        <v>1</v>
      </c>
      <c r="H311" s="6">
        <v>20000</v>
      </c>
      <c r="I311" s="6">
        <v>20000</v>
      </c>
      <c r="J311" s="6" t="s">
        <v>34</v>
      </c>
      <c r="K311" s="6" t="str">
        <f>TEXT(Table1[[#This Row],[OrderDate]],"mmm")</f>
        <v>Jan</v>
      </c>
    </row>
    <row r="312" spans="1:11">
      <c r="A312" s="6">
        <v>1311</v>
      </c>
      <c r="B312" s="6" t="s">
        <v>175</v>
      </c>
      <c r="C312" s="6" t="s">
        <v>22</v>
      </c>
      <c r="D312" s="6" t="s">
        <v>23</v>
      </c>
      <c r="E312" s="6" t="s">
        <v>14</v>
      </c>
      <c r="F312" s="6" t="s">
        <v>15</v>
      </c>
      <c r="G312" s="6">
        <v>5</v>
      </c>
      <c r="H312" s="6">
        <v>8000</v>
      </c>
      <c r="I312" s="6">
        <v>40000</v>
      </c>
      <c r="J312" s="6" t="s">
        <v>34</v>
      </c>
      <c r="K312" s="6" t="str">
        <f>TEXT(Table1[[#This Row],[OrderDate]],"mmm")</f>
        <v>Feb</v>
      </c>
    </row>
    <row r="313" spans="1:11">
      <c r="A313" s="6">
        <v>1312</v>
      </c>
      <c r="B313" s="6" t="s">
        <v>142</v>
      </c>
      <c r="C313" s="6" t="s">
        <v>12</v>
      </c>
      <c r="D313" s="6" t="s">
        <v>18</v>
      </c>
      <c r="E313" s="6" t="s">
        <v>14</v>
      </c>
      <c r="F313" s="6" t="s">
        <v>15</v>
      </c>
      <c r="G313" s="6">
        <v>1</v>
      </c>
      <c r="H313" s="6">
        <v>8000</v>
      </c>
      <c r="I313" s="6">
        <v>8000</v>
      </c>
      <c r="J313" s="6" t="s">
        <v>34</v>
      </c>
      <c r="K313" s="6" t="str">
        <f>TEXT(Table1[[#This Row],[OrderDate]],"mmm")</f>
        <v>Feb</v>
      </c>
    </row>
    <row r="314" spans="1:11">
      <c r="A314" s="6">
        <v>1313</v>
      </c>
      <c r="B314" s="6" t="s">
        <v>84</v>
      </c>
      <c r="C314" s="6" t="s">
        <v>25</v>
      </c>
      <c r="D314" s="6" t="s">
        <v>30</v>
      </c>
      <c r="E314" s="6" t="s">
        <v>14</v>
      </c>
      <c r="F314" s="6" t="s">
        <v>15</v>
      </c>
      <c r="G314" s="6">
        <v>2</v>
      </c>
      <c r="H314" s="6">
        <v>8000</v>
      </c>
      <c r="I314" s="6">
        <v>16000</v>
      </c>
      <c r="J314" s="6" t="s">
        <v>16</v>
      </c>
      <c r="K314" s="6" t="str">
        <f>TEXT(Table1[[#This Row],[OrderDate]],"mmm")</f>
        <v>Nov</v>
      </c>
    </row>
    <row r="315" spans="1:11">
      <c r="A315" s="6">
        <v>1314</v>
      </c>
      <c r="B315" s="6" t="s">
        <v>112</v>
      </c>
      <c r="C315" s="6" t="s">
        <v>71</v>
      </c>
      <c r="D315" s="6" t="s">
        <v>18</v>
      </c>
      <c r="E315" s="6" t="s">
        <v>33</v>
      </c>
      <c r="F315" s="6" t="s">
        <v>27</v>
      </c>
      <c r="G315" s="6">
        <v>4</v>
      </c>
      <c r="H315" s="6">
        <v>55000</v>
      </c>
      <c r="I315" s="6">
        <v>220000</v>
      </c>
      <c r="J315" s="6" t="s">
        <v>38</v>
      </c>
      <c r="K315" s="6" t="str">
        <f>TEXT(Table1[[#This Row],[OrderDate]],"mmm")</f>
        <v>Feb</v>
      </c>
    </row>
    <row r="316" spans="1:11">
      <c r="A316" s="6">
        <v>1315</v>
      </c>
      <c r="B316" s="6" t="s">
        <v>188</v>
      </c>
      <c r="C316" s="6" t="s">
        <v>32</v>
      </c>
      <c r="D316" s="6" t="s">
        <v>23</v>
      </c>
      <c r="E316" s="6" t="s">
        <v>43</v>
      </c>
      <c r="F316" s="6" t="s">
        <v>44</v>
      </c>
      <c r="G316" s="6">
        <v>1</v>
      </c>
      <c r="H316" s="6">
        <v>150</v>
      </c>
      <c r="I316" s="6">
        <v>150</v>
      </c>
      <c r="J316" s="6" t="s">
        <v>20</v>
      </c>
      <c r="K316" s="6" t="str">
        <f>TEXT(Table1[[#This Row],[OrderDate]],"mmm")</f>
        <v>Feb</v>
      </c>
    </row>
    <row r="317" spans="1:11">
      <c r="A317" s="6">
        <v>1316</v>
      </c>
      <c r="B317" s="6" t="s">
        <v>35</v>
      </c>
      <c r="C317" s="6" t="s">
        <v>29</v>
      </c>
      <c r="D317" s="6" t="s">
        <v>23</v>
      </c>
      <c r="E317" s="6" t="s">
        <v>14</v>
      </c>
      <c r="F317" s="6" t="s">
        <v>15</v>
      </c>
      <c r="G317" s="6">
        <v>1</v>
      </c>
      <c r="H317" s="6">
        <v>8000</v>
      </c>
      <c r="I317" s="6">
        <v>8000</v>
      </c>
      <c r="J317" s="6" t="s">
        <v>16</v>
      </c>
      <c r="K317" s="6" t="str">
        <f>TEXT(Table1[[#This Row],[OrderDate]],"mmm")</f>
        <v>Sep</v>
      </c>
    </row>
    <row r="318" spans="1:11">
      <c r="A318" s="6">
        <v>1317</v>
      </c>
      <c r="B318" s="6" t="s">
        <v>182</v>
      </c>
      <c r="C318" s="6" t="s">
        <v>12</v>
      </c>
      <c r="D318" s="6" t="s">
        <v>18</v>
      </c>
      <c r="E318" s="6" t="s">
        <v>40</v>
      </c>
      <c r="F318" s="6" t="s">
        <v>27</v>
      </c>
      <c r="G318" s="6">
        <v>4</v>
      </c>
      <c r="H318" s="6">
        <v>20000</v>
      </c>
      <c r="I318" s="6">
        <v>80000</v>
      </c>
      <c r="J318" s="6" t="s">
        <v>16</v>
      </c>
      <c r="K318" s="6" t="str">
        <f>TEXT(Table1[[#This Row],[OrderDate]],"mmm")</f>
        <v>Jun</v>
      </c>
    </row>
    <row r="319" spans="1:11">
      <c r="A319" s="6">
        <v>1318</v>
      </c>
      <c r="B319" s="6" t="s">
        <v>248</v>
      </c>
      <c r="C319" s="6" t="s">
        <v>42</v>
      </c>
      <c r="D319" s="6" t="s">
        <v>13</v>
      </c>
      <c r="E319" s="6" t="s">
        <v>50</v>
      </c>
      <c r="F319" s="6" t="s">
        <v>51</v>
      </c>
      <c r="G319" s="6">
        <v>3</v>
      </c>
      <c r="H319" s="6">
        <v>2000</v>
      </c>
      <c r="I319" s="6">
        <v>6000</v>
      </c>
      <c r="J319" s="6" t="s">
        <v>38</v>
      </c>
      <c r="K319" s="6" t="str">
        <f>TEXT(Table1[[#This Row],[OrderDate]],"mmm")</f>
        <v>Oct</v>
      </c>
    </row>
    <row r="320" spans="1:11">
      <c r="A320" s="6">
        <v>1319</v>
      </c>
      <c r="B320" s="6" t="s">
        <v>249</v>
      </c>
      <c r="C320" s="6" t="s">
        <v>71</v>
      </c>
      <c r="D320" s="6" t="s">
        <v>23</v>
      </c>
      <c r="E320" s="6" t="s">
        <v>40</v>
      </c>
      <c r="F320" s="6" t="s">
        <v>27</v>
      </c>
      <c r="G320" s="6">
        <v>2</v>
      </c>
      <c r="H320" s="6">
        <v>20000</v>
      </c>
      <c r="I320" s="6">
        <v>40000</v>
      </c>
      <c r="J320" s="6" t="s">
        <v>38</v>
      </c>
      <c r="K320" s="6" t="str">
        <f>TEXT(Table1[[#This Row],[OrderDate]],"mmm")</f>
        <v>Nov</v>
      </c>
    </row>
    <row r="321" spans="1:11">
      <c r="A321" s="6">
        <v>1320</v>
      </c>
      <c r="B321" s="6" t="s">
        <v>222</v>
      </c>
      <c r="C321" s="6" t="s">
        <v>47</v>
      </c>
      <c r="D321" s="6" t="s">
        <v>23</v>
      </c>
      <c r="E321" s="6" t="s">
        <v>50</v>
      </c>
      <c r="F321" s="6" t="s">
        <v>51</v>
      </c>
      <c r="G321" s="6">
        <v>5</v>
      </c>
      <c r="H321" s="6">
        <v>2000</v>
      </c>
      <c r="I321" s="6">
        <v>10000</v>
      </c>
      <c r="J321" s="6" t="s">
        <v>16</v>
      </c>
      <c r="K321" s="6" t="str">
        <f>TEXT(Table1[[#This Row],[OrderDate]],"mmm")</f>
        <v>Dec</v>
      </c>
    </row>
    <row r="322" spans="1:11">
      <c r="A322" s="6">
        <v>1321</v>
      </c>
      <c r="B322" s="6" t="s">
        <v>242</v>
      </c>
      <c r="C322" s="6" t="s">
        <v>32</v>
      </c>
      <c r="D322" s="6" t="s">
        <v>30</v>
      </c>
      <c r="E322" s="6" t="s">
        <v>40</v>
      </c>
      <c r="F322" s="6" t="s">
        <v>27</v>
      </c>
      <c r="G322" s="6">
        <v>2</v>
      </c>
      <c r="H322" s="6">
        <v>20000</v>
      </c>
      <c r="I322" s="6">
        <v>40000</v>
      </c>
      <c r="J322" s="6" t="s">
        <v>34</v>
      </c>
      <c r="K322" s="6" t="str">
        <f>TEXT(Table1[[#This Row],[OrderDate]],"mmm")</f>
        <v>Jun</v>
      </c>
    </row>
    <row r="323" spans="1:11">
      <c r="A323" s="6">
        <v>1322</v>
      </c>
      <c r="B323" s="6" t="s">
        <v>93</v>
      </c>
      <c r="C323" s="6" t="s">
        <v>25</v>
      </c>
      <c r="D323" s="6" t="s">
        <v>18</v>
      </c>
      <c r="E323" s="6" t="s">
        <v>50</v>
      </c>
      <c r="F323" s="6" t="s">
        <v>51</v>
      </c>
      <c r="G323" s="6">
        <v>5</v>
      </c>
      <c r="H323" s="6">
        <v>2000</v>
      </c>
      <c r="I323" s="6">
        <v>10000</v>
      </c>
      <c r="J323" s="6" t="s">
        <v>38</v>
      </c>
      <c r="K323" s="6" t="str">
        <f>TEXT(Table1[[#This Row],[OrderDate]],"mmm")</f>
        <v>Feb</v>
      </c>
    </row>
    <row r="324" spans="1:11">
      <c r="A324" s="6">
        <v>1323</v>
      </c>
      <c r="B324" s="6" t="s">
        <v>124</v>
      </c>
      <c r="C324" s="6" t="s">
        <v>29</v>
      </c>
      <c r="D324" s="6" t="s">
        <v>18</v>
      </c>
      <c r="E324" s="6" t="s">
        <v>57</v>
      </c>
      <c r="F324" s="6" t="s">
        <v>44</v>
      </c>
      <c r="G324" s="6">
        <v>5</v>
      </c>
      <c r="H324" s="6">
        <v>20</v>
      </c>
      <c r="I324" s="6">
        <v>100</v>
      </c>
      <c r="J324" s="6" t="s">
        <v>38</v>
      </c>
      <c r="K324" s="6" t="str">
        <f>TEXT(Table1[[#This Row],[OrderDate]],"mmm")</f>
        <v>Jan</v>
      </c>
    </row>
    <row r="325" spans="1:11">
      <c r="A325" s="6">
        <v>1324</v>
      </c>
      <c r="B325" s="6" t="s">
        <v>102</v>
      </c>
      <c r="C325" s="6" t="s">
        <v>29</v>
      </c>
      <c r="D325" s="6" t="s">
        <v>23</v>
      </c>
      <c r="E325" s="6" t="s">
        <v>33</v>
      </c>
      <c r="F325" s="6" t="s">
        <v>27</v>
      </c>
      <c r="G325" s="6">
        <v>5</v>
      </c>
      <c r="H325" s="6">
        <v>55000</v>
      </c>
      <c r="I325" s="6">
        <v>275000</v>
      </c>
      <c r="J325" s="6" t="s">
        <v>34</v>
      </c>
      <c r="K325" s="6" t="str">
        <f>TEXT(Table1[[#This Row],[OrderDate]],"mmm")</f>
        <v>Jan</v>
      </c>
    </row>
    <row r="326" spans="1:11">
      <c r="A326" s="6">
        <v>1325</v>
      </c>
      <c r="B326" s="6" t="s">
        <v>250</v>
      </c>
      <c r="C326" s="6" t="s">
        <v>22</v>
      </c>
      <c r="D326" s="6" t="s">
        <v>23</v>
      </c>
      <c r="E326" s="6" t="s">
        <v>14</v>
      </c>
      <c r="F326" s="6" t="s">
        <v>15</v>
      </c>
      <c r="G326" s="6">
        <v>2</v>
      </c>
      <c r="H326" s="6">
        <v>8000</v>
      </c>
      <c r="I326" s="6">
        <v>16000</v>
      </c>
      <c r="J326" s="6" t="s">
        <v>16</v>
      </c>
      <c r="K326" s="6" t="str">
        <f>TEXT(Table1[[#This Row],[OrderDate]],"mmm")</f>
        <v>Jun</v>
      </c>
    </row>
    <row r="327" spans="1:11">
      <c r="A327" s="6">
        <v>1326</v>
      </c>
      <c r="B327" s="6" t="s">
        <v>176</v>
      </c>
      <c r="C327" s="6" t="s">
        <v>54</v>
      </c>
      <c r="D327" s="6" t="s">
        <v>18</v>
      </c>
      <c r="E327" s="6" t="s">
        <v>26</v>
      </c>
      <c r="F327" s="6" t="s">
        <v>27</v>
      </c>
      <c r="G327" s="6">
        <v>3</v>
      </c>
      <c r="H327" s="6">
        <v>15000</v>
      </c>
      <c r="I327" s="6">
        <v>45000</v>
      </c>
      <c r="J327" s="6" t="s">
        <v>16</v>
      </c>
      <c r="K327" s="6" t="str">
        <f>TEXT(Table1[[#This Row],[OrderDate]],"mmm")</f>
        <v>Mar</v>
      </c>
    </row>
    <row r="328" spans="1:11">
      <c r="A328" s="6">
        <v>1327</v>
      </c>
      <c r="B328" s="6" t="s">
        <v>41</v>
      </c>
      <c r="C328" s="6" t="s">
        <v>71</v>
      </c>
      <c r="D328" s="6" t="s">
        <v>13</v>
      </c>
      <c r="E328" s="6" t="s">
        <v>43</v>
      </c>
      <c r="F328" s="6" t="s">
        <v>44</v>
      </c>
      <c r="G328" s="6">
        <v>1</v>
      </c>
      <c r="H328" s="6">
        <v>150</v>
      </c>
      <c r="I328" s="6">
        <v>150</v>
      </c>
      <c r="J328" s="6" t="s">
        <v>38</v>
      </c>
      <c r="K328" s="6" t="str">
        <f>TEXT(Table1[[#This Row],[OrderDate]],"mmm")</f>
        <v>Nov</v>
      </c>
    </row>
    <row r="329" spans="1:11">
      <c r="A329" s="6">
        <v>1328</v>
      </c>
      <c r="B329" s="6" t="s">
        <v>131</v>
      </c>
      <c r="C329" s="6" t="s">
        <v>42</v>
      </c>
      <c r="D329" s="6" t="s">
        <v>13</v>
      </c>
      <c r="E329" s="6" t="s">
        <v>57</v>
      </c>
      <c r="F329" s="6" t="s">
        <v>44</v>
      </c>
      <c r="G329" s="6">
        <v>1</v>
      </c>
      <c r="H329" s="6">
        <v>20</v>
      </c>
      <c r="I329" s="6">
        <v>20</v>
      </c>
      <c r="J329" s="6" t="s">
        <v>34</v>
      </c>
      <c r="K329" s="6" t="str">
        <f>TEXT(Table1[[#This Row],[OrderDate]],"mmm")</f>
        <v>Mar</v>
      </c>
    </row>
    <row r="330" spans="1:11">
      <c r="A330" s="6">
        <v>1329</v>
      </c>
      <c r="B330" s="6" t="s">
        <v>193</v>
      </c>
      <c r="C330" s="6" t="s">
        <v>42</v>
      </c>
      <c r="D330" s="6" t="s">
        <v>23</v>
      </c>
      <c r="E330" s="6" t="s">
        <v>50</v>
      </c>
      <c r="F330" s="6" t="s">
        <v>51</v>
      </c>
      <c r="G330" s="6">
        <v>2</v>
      </c>
      <c r="H330" s="6">
        <v>2000</v>
      </c>
      <c r="I330" s="6">
        <v>4000</v>
      </c>
      <c r="J330" s="6" t="s">
        <v>20</v>
      </c>
      <c r="K330" s="6" t="str">
        <f>TEXT(Table1[[#This Row],[OrderDate]],"mmm")</f>
        <v>Nov</v>
      </c>
    </row>
    <row r="331" spans="1:11">
      <c r="A331" s="6">
        <v>1330</v>
      </c>
      <c r="B331" s="6" t="s">
        <v>231</v>
      </c>
      <c r="C331" s="6" t="s">
        <v>71</v>
      </c>
      <c r="D331" s="6" t="s">
        <v>30</v>
      </c>
      <c r="E331" s="6" t="s">
        <v>19</v>
      </c>
      <c r="F331" s="6" t="s">
        <v>15</v>
      </c>
      <c r="G331" s="6">
        <v>1</v>
      </c>
      <c r="H331" s="6">
        <v>4500</v>
      </c>
      <c r="I331" s="6">
        <v>4500</v>
      </c>
      <c r="J331" s="6" t="s">
        <v>20</v>
      </c>
      <c r="K331" s="6" t="str">
        <f>TEXT(Table1[[#This Row],[OrderDate]],"mmm")</f>
        <v>Mar</v>
      </c>
    </row>
    <row r="332" spans="1:11">
      <c r="A332" s="6">
        <v>1331</v>
      </c>
      <c r="B332" s="6" t="s">
        <v>226</v>
      </c>
      <c r="C332" s="6" t="s">
        <v>54</v>
      </c>
      <c r="D332" s="6" t="s">
        <v>13</v>
      </c>
      <c r="E332" s="6" t="s">
        <v>19</v>
      </c>
      <c r="F332" s="6" t="s">
        <v>15</v>
      </c>
      <c r="G332" s="6">
        <v>4</v>
      </c>
      <c r="H332" s="6">
        <v>4500</v>
      </c>
      <c r="I332" s="6">
        <v>18000</v>
      </c>
      <c r="J332" s="6" t="s">
        <v>20</v>
      </c>
      <c r="K332" s="6" t="str">
        <f>TEXT(Table1[[#This Row],[OrderDate]],"mmm")</f>
        <v>Sep</v>
      </c>
    </row>
    <row r="333" spans="1:11">
      <c r="A333" s="6">
        <v>1332</v>
      </c>
      <c r="B333" s="6" t="s">
        <v>251</v>
      </c>
      <c r="C333" s="6" t="s">
        <v>29</v>
      </c>
      <c r="D333" s="6" t="s">
        <v>18</v>
      </c>
      <c r="E333" s="6" t="s">
        <v>43</v>
      </c>
      <c r="F333" s="6" t="s">
        <v>44</v>
      </c>
      <c r="G333" s="6">
        <v>1</v>
      </c>
      <c r="H333" s="6">
        <v>150</v>
      </c>
      <c r="I333" s="6">
        <v>150</v>
      </c>
      <c r="J333" s="6" t="s">
        <v>16</v>
      </c>
      <c r="K333" s="6" t="str">
        <f>TEXT(Table1[[#This Row],[OrderDate]],"mmm")</f>
        <v>Apr</v>
      </c>
    </row>
    <row r="334" spans="1:11">
      <c r="A334" s="6">
        <v>1333</v>
      </c>
      <c r="B334" s="6" t="s">
        <v>144</v>
      </c>
      <c r="C334" s="6" t="s">
        <v>32</v>
      </c>
      <c r="D334" s="6" t="s">
        <v>23</v>
      </c>
      <c r="E334" s="6" t="s">
        <v>43</v>
      </c>
      <c r="F334" s="6" t="s">
        <v>44</v>
      </c>
      <c r="G334" s="6">
        <v>5</v>
      </c>
      <c r="H334" s="6">
        <v>150</v>
      </c>
      <c r="I334" s="6">
        <v>750</v>
      </c>
      <c r="J334" s="6" t="s">
        <v>34</v>
      </c>
      <c r="K334" s="6" t="str">
        <f>TEXT(Table1[[#This Row],[OrderDate]],"mmm")</f>
        <v>Oct</v>
      </c>
    </row>
    <row r="335" spans="1:11">
      <c r="A335" s="6">
        <v>1334</v>
      </c>
      <c r="B335" s="6" t="s">
        <v>72</v>
      </c>
      <c r="C335" s="6" t="s">
        <v>47</v>
      </c>
      <c r="D335" s="6" t="s">
        <v>30</v>
      </c>
      <c r="E335" s="6" t="s">
        <v>57</v>
      </c>
      <c r="F335" s="6" t="s">
        <v>44</v>
      </c>
      <c r="G335" s="6">
        <v>1</v>
      </c>
      <c r="H335" s="6">
        <v>20</v>
      </c>
      <c r="I335" s="6">
        <v>20</v>
      </c>
      <c r="J335" s="6" t="s">
        <v>20</v>
      </c>
      <c r="K335" s="6" t="str">
        <f>TEXT(Table1[[#This Row],[OrderDate]],"mmm")</f>
        <v>Aug</v>
      </c>
    </row>
    <row r="336" spans="1:11">
      <c r="A336" s="6">
        <v>1335</v>
      </c>
      <c r="B336" s="6" t="s">
        <v>218</v>
      </c>
      <c r="C336" s="6" t="s">
        <v>22</v>
      </c>
      <c r="D336" s="6" t="s">
        <v>30</v>
      </c>
      <c r="E336" s="6" t="s">
        <v>26</v>
      </c>
      <c r="F336" s="6" t="s">
        <v>27</v>
      </c>
      <c r="G336" s="6">
        <v>4</v>
      </c>
      <c r="H336" s="6">
        <v>15000</v>
      </c>
      <c r="I336" s="6">
        <v>60000</v>
      </c>
      <c r="J336" s="6" t="s">
        <v>34</v>
      </c>
      <c r="K336" s="6" t="str">
        <f>TEXT(Table1[[#This Row],[OrderDate]],"mmm")</f>
        <v>Mar</v>
      </c>
    </row>
    <row r="337" spans="1:11">
      <c r="A337" s="6">
        <v>1336</v>
      </c>
      <c r="B337" s="6" t="s">
        <v>148</v>
      </c>
      <c r="C337" s="6" t="s">
        <v>32</v>
      </c>
      <c r="D337" s="6" t="s">
        <v>30</v>
      </c>
      <c r="E337" s="6" t="s">
        <v>33</v>
      </c>
      <c r="F337" s="6" t="s">
        <v>27</v>
      </c>
      <c r="G337" s="6">
        <v>1</v>
      </c>
      <c r="H337" s="6">
        <v>55000</v>
      </c>
      <c r="I337" s="6">
        <v>55000</v>
      </c>
      <c r="J337" s="6" t="s">
        <v>38</v>
      </c>
      <c r="K337" s="6" t="str">
        <f>TEXT(Table1[[#This Row],[OrderDate]],"mmm")</f>
        <v>May</v>
      </c>
    </row>
    <row r="338" spans="1:11">
      <c r="A338" s="6">
        <v>1337</v>
      </c>
      <c r="B338" s="6" t="s">
        <v>252</v>
      </c>
      <c r="C338" s="6" t="s">
        <v>22</v>
      </c>
      <c r="D338" s="6" t="s">
        <v>30</v>
      </c>
      <c r="E338" s="6" t="s">
        <v>26</v>
      </c>
      <c r="F338" s="6" t="s">
        <v>27</v>
      </c>
      <c r="G338" s="6">
        <v>4</v>
      </c>
      <c r="H338" s="6">
        <v>15000</v>
      </c>
      <c r="I338" s="6">
        <v>60000</v>
      </c>
      <c r="J338" s="6" t="s">
        <v>20</v>
      </c>
      <c r="K338" s="6" t="str">
        <f>TEXT(Table1[[#This Row],[OrderDate]],"mmm")</f>
        <v>Jul</v>
      </c>
    </row>
    <row r="339" spans="1:11">
      <c r="A339" s="6">
        <v>1338</v>
      </c>
      <c r="B339" s="6" t="s">
        <v>64</v>
      </c>
      <c r="C339" s="6" t="s">
        <v>12</v>
      </c>
      <c r="D339" s="6" t="s">
        <v>23</v>
      </c>
      <c r="E339" s="6" t="s">
        <v>57</v>
      </c>
      <c r="F339" s="6" t="s">
        <v>44</v>
      </c>
      <c r="G339" s="6">
        <v>3</v>
      </c>
      <c r="H339" s="6">
        <v>20</v>
      </c>
      <c r="I339" s="6">
        <v>60</v>
      </c>
      <c r="J339" s="6" t="s">
        <v>38</v>
      </c>
      <c r="K339" s="6" t="str">
        <f>TEXT(Table1[[#This Row],[OrderDate]],"mmm")</f>
        <v>Feb</v>
      </c>
    </row>
    <row r="340" spans="1:11">
      <c r="A340" s="6">
        <v>1339</v>
      </c>
      <c r="B340" s="6" t="s">
        <v>253</v>
      </c>
      <c r="C340" s="6" t="s">
        <v>22</v>
      </c>
      <c r="D340" s="6" t="s">
        <v>23</v>
      </c>
      <c r="E340" s="6" t="s">
        <v>57</v>
      </c>
      <c r="F340" s="6" t="s">
        <v>44</v>
      </c>
      <c r="G340" s="6">
        <v>5</v>
      </c>
      <c r="H340" s="6">
        <v>20</v>
      </c>
      <c r="I340" s="6">
        <v>100</v>
      </c>
      <c r="J340" s="6" t="s">
        <v>38</v>
      </c>
      <c r="K340" s="6" t="str">
        <f>TEXT(Table1[[#This Row],[OrderDate]],"mmm")</f>
        <v>Jan</v>
      </c>
    </row>
    <row r="341" spans="1:11">
      <c r="A341" s="6">
        <v>1340</v>
      </c>
      <c r="B341" s="6" t="s">
        <v>242</v>
      </c>
      <c r="C341" s="6" t="s">
        <v>12</v>
      </c>
      <c r="D341" s="6" t="s">
        <v>30</v>
      </c>
      <c r="E341" s="6" t="s">
        <v>33</v>
      </c>
      <c r="F341" s="6" t="s">
        <v>27</v>
      </c>
      <c r="G341" s="6">
        <v>4</v>
      </c>
      <c r="H341" s="6">
        <v>55000</v>
      </c>
      <c r="I341" s="6">
        <v>220000</v>
      </c>
      <c r="J341" s="6" t="s">
        <v>34</v>
      </c>
      <c r="K341" s="6" t="str">
        <f>TEXT(Table1[[#This Row],[OrderDate]],"mmm")</f>
        <v>Jun</v>
      </c>
    </row>
    <row r="342" spans="1:11">
      <c r="A342" s="6">
        <v>1341</v>
      </c>
      <c r="B342" s="6" t="s">
        <v>254</v>
      </c>
      <c r="C342" s="6" t="s">
        <v>12</v>
      </c>
      <c r="D342" s="6" t="s">
        <v>13</v>
      </c>
      <c r="E342" s="6" t="s">
        <v>43</v>
      </c>
      <c r="F342" s="6" t="s">
        <v>44</v>
      </c>
      <c r="G342" s="6">
        <v>5</v>
      </c>
      <c r="H342" s="6">
        <v>150</v>
      </c>
      <c r="I342" s="6">
        <v>750</v>
      </c>
      <c r="J342" s="6" t="s">
        <v>16</v>
      </c>
      <c r="K342" s="6" t="str">
        <f>TEXT(Table1[[#This Row],[OrderDate]],"mmm")</f>
        <v>Aug</v>
      </c>
    </row>
    <row r="343" spans="1:11">
      <c r="A343" s="6">
        <v>1342</v>
      </c>
      <c r="B343" s="6" t="s">
        <v>255</v>
      </c>
      <c r="C343" s="6" t="s">
        <v>25</v>
      </c>
      <c r="D343" s="6" t="s">
        <v>23</v>
      </c>
      <c r="E343" s="6" t="s">
        <v>40</v>
      </c>
      <c r="F343" s="6" t="s">
        <v>27</v>
      </c>
      <c r="G343" s="6">
        <v>2</v>
      </c>
      <c r="H343" s="6">
        <v>20000</v>
      </c>
      <c r="I343" s="6">
        <v>40000</v>
      </c>
      <c r="J343" s="6" t="s">
        <v>38</v>
      </c>
      <c r="K343" s="6" t="str">
        <f>TEXT(Table1[[#This Row],[OrderDate]],"mmm")</f>
        <v>Apr</v>
      </c>
    </row>
    <row r="344" spans="1:11">
      <c r="A344" s="6">
        <v>1343</v>
      </c>
      <c r="B344" s="6" t="s">
        <v>139</v>
      </c>
      <c r="C344" s="6" t="s">
        <v>47</v>
      </c>
      <c r="D344" s="6" t="s">
        <v>23</v>
      </c>
      <c r="E344" s="6" t="s">
        <v>26</v>
      </c>
      <c r="F344" s="6" t="s">
        <v>27</v>
      </c>
      <c r="G344" s="6">
        <v>1</v>
      </c>
      <c r="H344" s="6">
        <v>15000</v>
      </c>
      <c r="I344" s="6">
        <v>15000</v>
      </c>
      <c r="J344" s="6" t="s">
        <v>38</v>
      </c>
      <c r="K344" s="6" t="str">
        <f>TEXT(Table1[[#This Row],[OrderDate]],"mmm")</f>
        <v>Feb</v>
      </c>
    </row>
    <row r="345" spans="1:11">
      <c r="A345" s="6">
        <v>1344</v>
      </c>
      <c r="B345" s="6" t="s">
        <v>64</v>
      </c>
      <c r="C345" s="6" t="s">
        <v>60</v>
      </c>
      <c r="D345" s="6" t="s">
        <v>23</v>
      </c>
      <c r="E345" s="6" t="s">
        <v>14</v>
      </c>
      <c r="F345" s="6" t="s">
        <v>15</v>
      </c>
      <c r="G345" s="6">
        <v>2</v>
      </c>
      <c r="H345" s="6">
        <v>8000</v>
      </c>
      <c r="I345" s="6">
        <v>16000</v>
      </c>
      <c r="J345" s="6" t="s">
        <v>20</v>
      </c>
      <c r="K345" s="6" t="str">
        <f>TEXT(Table1[[#This Row],[OrderDate]],"mmm")</f>
        <v>Feb</v>
      </c>
    </row>
    <row r="346" spans="1:11">
      <c r="A346" s="6">
        <v>1345</v>
      </c>
      <c r="B346" s="6" t="s">
        <v>99</v>
      </c>
      <c r="C346" s="6" t="s">
        <v>54</v>
      </c>
      <c r="D346" s="6" t="s">
        <v>30</v>
      </c>
      <c r="E346" s="6" t="s">
        <v>26</v>
      </c>
      <c r="F346" s="6" t="s">
        <v>27</v>
      </c>
      <c r="G346" s="6">
        <v>4</v>
      </c>
      <c r="H346" s="6">
        <v>15000</v>
      </c>
      <c r="I346" s="6">
        <v>60000</v>
      </c>
      <c r="J346" s="6" t="s">
        <v>38</v>
      </c>
      <c r="K346" s="6" t="str">
        <f>TEXT(Table1[[#This Row],[OrderDate]],"mmm")</f>
        <v>Sep</v>
      </c>
    </row>
    <row r="347" spans="1:11">
      <c r="A347" s="6">
        <v>1346</v>
      </c>
      <c r="B347" s="6" t="s">
        <v>256</v>
      </c>
      <c r="C347" s="6" t="s">
        <v>32</v>
      </c>
      <c r="D347" s="6" t="s">
        <v>13</v>
      </c>
      <c r="E347" s="6" t="s">
        <v>57</v>
      </c>
      <c r="F347" s="6" t="s">
        <v>44</v>
      </c>
      <c r="G347" s="6">
        <v>2</v>
      </c>
      <c r="H347" s="6">
        <v>20</v>
      </c>
      <c r="I347" s="6">
        <v>40</v>
      </c>
      <c r="J347" s="6" t="s">
        <v>34</v>
      </c>
      <c r="K347" s="6" t="str">
        <f>TEXT(Table1[[#This Row],[OrderDate]],"mmm")</f>
        <v>Jul</v>
      </c>
    </row>
    <row r="348" spans="1:11">
      <c r="A348" s="6">
        <v>1347</v>
      </c>
      <c r="B348" s="6" t="s">
        <v>257</v>
      </c>
      <c r="C348" s="6" t="s">
        <v>60</v>
      </c>
      <c r="D348" s="6" t="s">
        <v>13</v>
      </c>
      <c r="E348" s="6" t="s">
        <v>40</v>
      </c>
      <c r="F348" s="6" t="s">
        <v>27</v>
      </c>
      <c r="G348" s="6">
        <v>4</v>
      </c>
      <c r="H348" s="6">
        <v>20000</v>
      </c>
      <c r="I348" s="6">
        <v>80000</v>
      </c>
      <c r="J348" s="6" t="s">
        <v>16</v>
      </c>
      <c r="K348" s="6" t="str">
        <f>TEXT(Table1[[#This Row],[OrderDate]],"mmm")</f>
        <v>Jul</v>
      </c>
    </row>
    <row r="349" spans="1:11">
      <c r="A349" s="6">
        <v>1348</v>
      </c>
      <c r="B349" s="6" t="s">
        <v>258</v>
      </c>
      <c r="C349" s="6" t="s">
        <v>29</v>
      </c>
      <c r="D349" s="6" t="s">
        <v>30</v>
      </c>
      <c r="E349" s="6" t="s">
        <v>26</v>
      </c>
      <c r="F349" s="6" t="s">
        <v>27</v>
      </c>
      <c r="G349" s="6">
        <v>1</v>
      </c>
      <c r="H349" s="6">
        <v>15000</v>
      </c>
      <c r="I349" s="6">
        <v>15000</v>
      </c>
      <c r="J349" s="6" t="s">
        <v>20</v>
      </c>
      <c r="K349" s="6" t="str">
        <f>TEXT(Table1[[#This Row],[OrderDate]],"mmm")</f>
        <v>Jul</v>
      </c>
    </row>
    <row r="350" spans="1:11">
      <c r="A350" s="6">
        <v>1349</v>
      </c>
      <c r="B350" s="6" t="s">
        <v>259</v>
      </c>
      <c r="C350" s="6" t="s">
        <v>60</v>
      </c>
      <c r="D350" s="6" t="s">
        <v>23</v>
      </c>
      <c r="E350" s="6" t="s">
        <v>19</v>
      </c>
      <c r="F350" s="6" t="s">
        <v>15</v>
      </c>
      <c r="G350" s="6">
        <v>2</v>
      </c>
      <c r="H350" s="6">
        <v>4500</v>
      </c>
      <c r="I350" s="6">
        <v>9000</v>
      </c>
      <c r="J350" s="6" t="s">
        <v>38</v>
      </c>
      <c r="K350" s="6" t="str">
        <f>TEXT(Table1[[#This Row],[OrderDate]],"mmm")</f>
        <v>Aug</v>
      </c>
    </row>
    <row r="351" spans="1:11">
      <c r="A351" s="6">
        <v>1350</v>
      </c>
      <c r="B351" s="6" t="s">
        <v>107</v>
      </c>
      <c r="C351" s="6" t="s">
        <v>25</v>
      </c>
      <c r="D351" s="6" t="s">
        <v>30</v>
      </c>
      <c r="E351" s="6" t="s">
        <v>57</v>
      </c>
      <c r="F351" s="6" t="s">
        <v>44</v>
      </c>
      <c r="G351" s="6">
        <v>2</v>
      </c>
      <c r="H351" s="6">
        <v>20</v>
      </c>
      <c r="I351" s="6">
        <v>40</v>
      </c>
      <c r="J351" s="6" t="s">
        <v>20</v>
      </c>
      <c r="K351" s="6" t="str">
        <f>TEXT(Table1[[#This Row],[OrderDate]],"mmm")</f>
        <v>Mar</v>
      </c>
    </row>
    <row r="352" spans="1:11">
      <c r="A352" s="6">
        <v>1351</v>
      </c>
      <c r="B352" s="6" t="s">
        <v>236</v>
      </c>
      <c r="C352" s="6" t="s">
        <v>25</v>
      </c>
      <c r="D352" s="6" t="s">
        <v>18</v>
      </c>
      <c r="E352" s="6" t="s">
        <v>43</v>
      </c>
      <c r="F352" s="6" t="s">
        <v>44</v>
      </c>
      <c r="G352" s="6">
        <v>1</v>
      </c>
      <c r="H352" s="6">
        <v>150</v>
      </c>
      <c r="I352" s="6">
        <v>150</v>
      </c>
      <c r="J352" s="6" t="s">
        <v>20</v>
      </c>
      <c r="K352" s="6" t="str">
        <f>TEXT(Table1[[#This Row],[OrderDate]],"mmm")</f>
        <v>Apr</v>
      </c>
    </row>
    <row r="353" spans="1:11">
      <c r="A353" s="6">
        <v>1352</v>
      </c>
      <c r="B353" s="6" t="s">
        <v>260</v>
      </c>
      <c r="C353" s="6" t="s">
        <v>54</v>
      </c>
      <c r="D353" s="6" t="s">
        <v>23</v>
      </c>
      <c r="E353" s="6" t="s">
        <v>33</v>
      </c>
      <c r="F353" s="6" t="s">
        <v>27</v>
      </c>
      <c r="G353" s="6">
        <v>3</v>
      </c>
      <c r="H353" s="6">
        <v>55000</v>
      </c>
      <c r="I353" s="6">
        <v>165000</v>
      </c>
      <c r="J353" s="6" t="s">
        <v>20</v>
      </c>
      <c r="K353" s="6" t="str">
        <f>TEXT(Table1[[#This Row],[OrderDate]],"mmm")</f>
        <v>Aug</v>
      </c>
    </row>
    <row r="354" spans="1:11">
      <c r="A354" s="6">
        <v>1353</v>
      </c>
      <c r="B354" s="6" t="s">
        <v>261</v>
      </c>
      <c r="C354" s="6" t="s">
        <v>60</v>
      </c>
      <c r="D354" s="6" t="s">
        <v>18</v>
      </c>
      <c r="E354" s="6" t="s">
        <v>26</v>
      </c>
      <c r="F354" s="6" t="s">
        <v>27</v>
      </c>
      <c r="G354" s="6">
        <v>5</v>
      </c>
      <c r="H354" s="6">
        <v>15000</v>
      </c>
      <c r="I354" s="6">
        <v>75000</v>
      </c>
      <c r="J354" s="6" t="s">
        <v>16</v>
      </c>
      <c r="K354" s="6" t="str">
        <f>TEXT(Table1[[#This Row],[OrderDate]],"mmm")</f>
        <v>Mar</v>
      </c>
    </row>
    <row r="355" spans="1:11">
      <c r="A355" s="6">
        <v>1354</v>
      </c>
      <c r="B355" s="6" t="s">
        <v>88</v>
      </c>
      <c r="C355" s="6" t="s">
        <v>42</v>
      </c>
      <c r="D355" s="6" t="s">
        <v>18</v>
      </c>
      <c r="E355" s="6" t="s">
        <v>33</v>
      </c>
      <c r="F355" s="6" t="s">
        <v>27</v>
      </c>
      <c r="G355" s="6">
        <v>5</v>
      </c>
      <c r="H355" s="6">
        <v>55000</v>
      </c>
      <c r="I355" s="6">
        <v>275000</v>
      </c>
      <c r="J355" s="6" t="s">
        <v>16</v>
      </c>
      <c r="K355" s="6" t="str">
        <f>TEXT(Table1[[#This Row],[OrderDate]],"mmm")</f>
        <v>Sep</v>
      </c>
    </row>
    <row r="356" spans="1:11">
      <c r="A356" s="6">
        <v>1355</v>
      </c>
      <c r="B356" s="6" t="s">
        <v>188</v>
      </c>
      <c r="C356" s="6" t="s">
        <v>42</v>
      </c>
      <c r="D356" s="6" t="s">
        <v>30</v>
      </c>
      <c r="E356" s="6" t="s">
        <v>26</v>
      </c>
      <c r="F356" s="6" t="s">
        <v>27</v>
      </c>
      <c r="G356" s="6">
        <v>4</v>
      </c>
      <c r="H356" s="6">
        <v>15000</v>
      </c>
      <c r="I356" s="6">
        <v>60000</v>
      </c>
      <c r="J356" s="6" t="s">
        <v>38</v>
      </c>
      <c r="K356" s="6" t="str">
        <f>TEXT(Table1[[#This Row],[OrderDate]],"mmm")</f>
        <v>Feb</v>
      </c>
    </row>
    <row r="357" spans="1:11">
      <c r="A357" s="6">
        <v>1356</v>
      </c>
      <c r="B357" s="6" t="s">
        <v>137</v>
      </c>
      <c r="C357" s="6" t="s">
        <v>71</v>
      </c>
      <c r="D357" s="6" t="s">
        <v>30</v>
      </c>
      <c r="E357" s="6" t="s">
        <v>26</v>
      </c>
      <c r="F357" s="6" t="s">
        <v>27</v>
      </c>
      <c r="G357" s="6">
        <v>5</v>
      </c>
      <c r="H357" s="6">
        <v>15000</v>
      </c>
      <c r="I357" s="6">
        <v>75000</v>
      </c>
      <c r="J357" s="6" t="s">
        <v>16</v>
      </c>
      <c r="K357" s="6" t="str">
        <f>TEXT(Table1[[#This Row],[OrderDate]],"mmm")</f>
        <v>Oct</v>
      </c>
    </row>
    <row r="358" spans="1:11">
      <c r="A358" s="6">
        <v>1357</v>
      </c>
      <c r="B358" s="6" t="s">
        <v>107</v>
      </c>
      <c r="C358" s="6" t="s">
        <v>54</v>
      </c>
      <c r="D358" s="6" t="s">
        <v>23</v>
      </c>
      <c r="E358" s="6" t="s">
        <v>26</v>
      </c>
      <c r="F358" s="6" t="s">
        <v>27</v>
      </c>
      <c r="G358" s="6">
        <v>3</v>
      </c>
      <c r="H358" s="6">
        <v>15000</v>
      </c>
      <c r="I358" s="6">
        <v>45000</v>
      </c>
      <c r="J358" s="6" t="s">
        <v>38</v>
      </c>
      <c r="K358" s="6" t="str">
        <f>TEXT(Table1[[#This Row],[OrderDate]],"mmm")</f>
        <v>Mar</v>
      </c>
    </row>
    <row r="359" spans="1:11">
      <c r="A359" s="6">
        <v>1358</v>
      </c>
      <c r="B359" s="6" t="s">
        <v>56</v>
      </c>
      <c r="C359" s="6" t="s">
        <v>25</v>
      </c>
      <c r="D359" s="6" t="s">
        <v>23</v>
      </c>
      <c r="E359" s="6" t="s">
        <v>33</v>
      </c>
      <c r="F359" s="6" t="s">
        <v>27</v>
      </c>
      <c r="G359" s="6">
        <v>1</v>
      </c>
      <c r="H359" s="6">
        <v>55000</v>
      </c>
      <c r="I359" s="6">
        <v>55000</v>
      </c>
      <c r="J359" s="6" t="s">
        <v>38</v>
      </c>
      <c r="K359" s="6" t="str">
        <f>TEXT(Table1[[#This Row],[OrderDate]],"mmm")</f>
        <v>Oct</v>
      </c>
    </row>
    <row r="360" spans="1:11">
      <c r="A360" s="6">
        <v>1359</v>
      </c>
      <c r="B360" s="6" t="s">
        <v>262</v>
      </c>
      <c r="C360" s="6" t="s">
        <v>32</v>
      </c>
      <c r="D360" s="6" t="s">
        <v>18</v>
      </c>
      <c r="E360" s="6" t="s">
        <v>33</v>
      </c>
      <c r="F360" s="6" t="s">
        <v>27</v>
      </c>
      <c r="G360" s="6">
        <v>5</v>
      </c>
      <c r="H360" s="6">
        <v>55000</v>
      </c>
      <c r="I360" s="6">
        <v>275000</v>
      </c>
      <c r="J360" s="6" t="s">
        <v>38</v>
      </c>
      <c r="K360" s="6" t="str">
        <f>TEXT(Table1[[#This Row],[OrderDate]],"mmm")</f>
        <v>Aug</v>
      </c>
    </row>
    <row r="361" spans="1:11">
      <c r="A361" s="6">
        <v>1360</v>
      </c>
      <c r="B361" s="6" t="s">
        <v>167</v>
      </c>
      <c r="C361" s="6" t="s">
        <v>29</v>
      </c>
      <c r="D361" s="6" t="s">
        <v>30</v>
      </c>
      <c r="E361" s="6" t="s">
        <v>19</v>
      </c>
      <c r="F361" s="6" t="s">
        <v>15</v>
      </c>
      <c r="G361" s="6">
        <v>1</v>
      </c>
      <c r="H361" s="6">
        <v>4500</v>
      </c>
      <c r="I361" s="6">
        <v>4500</v>
      </c>
      <c r="J361" s="6" t="s">
        <v>34</v>
      </c>
      <c r="K361" s="6" t="str">
        <f>TEXT(Table1[[#This Row],[OrderDate]],"mmm")</f>
        <v>Mar</v>
      </c>
    </row>
    <row r="362" spans="1:11">
      <c r="A362" s="6">
        <v>1361</v>
      </c>
      <c r="B362" s="6" t="s">
        <v>105</v>
      </c>
      <c r="C362" s="6" t="s">
        <v>12</v>
      </c>
      <c r="D362" s="6" t="s">
        <v>23</v>
      </c>
      <c r="E362" s="6" t="s">
        <v>57</v>
      </c>
      <c r="F362" s="6" t="s">
        <v>44</v>
      </c>
      <c r="G362" s="6">
        <v>4</v>
      </c>
      <c r="H362" s="6">
        <v>20</v>
      </c>
      <c r="I362" s="6">
        <v>80</v>
      </c>
      <c r="J362" s="6" t="s">
        <v>38</v>
      </c>
      <c r="K362" s="6" t="str">
        <f>TEXT(Table1[[#This Row],[OrderDate]],"mmm")</f>
        <v>May</v>
      </c>
    </row>
    <row r="363" spans="1:11">
      <c r="A363" s="6">
        <v>1362</v>
      </c>
      <c r="B363" s="6" t="s">
        <v>104</v>
      </c>
      <c r="C363" s="6" t="s">
        <v>54</v>
      </c>
      <c r="D363" s="6" t="s">
        <v>23</v>
      </c>
      <c r="E363" s="6" t="s">
        <v>50</v>
      </c>
      <c r="F363" s="6" t="s">
        <v>51</v>
      </c>
      <c r="G363" s="6">
        <v>1</v>
      </c>
      <c r="H363" s="6">
        <v>2000</v>
      </c>
      <c r="I363" s="6">
        <v>2000</v>
      </c>
      <c r="J363" s="6" t="s">
        <v>34</v>
      </c>
      <c r="K363" s="6" t="str">
        <f>TEXT(Table1[[#This Row],[OrderDate]],"mmm")</f>
        <v>Dec</v>
      </c>
    </row>
    <row r="364" spans="1:11">
      <c r="A364" s="6">
        <v>1363</v>
      </c>
      <c r="B364" s="6" t="s">
        <v>263</v>
      </c>
      <c r="C364" s="6" t="s">
        <v>60</v>
      </c>
      <c r="D364" s="6" t="s">
        <v>23</v>
      </c>
      <c r="E364" s="6" t="s">
        <v>43</v>
      </c>
      <c r="F364" s="6" t="s">
        <v>44</v>
      </c>
      <c r="G364" s="6">
        <v>5</v>
      </c>
      <c r="H364" s="6">
        <v>150</v>
      </c>
      <c r="I364" s="6">
        <v>750</v>
      </c>
      <c r="J364" s="6" t="s">
        <v>38</v>
      </c>
      <c r="K364" s="6" t="str">
        <f>TEXT(Table1[[#This Row],[OrderDate]],"mmm")</f>
        <v>Dec</v>
      </c>
    </row>
    <row r="365" spans="1:11">
      <c r="A365" s="6">
        <v>1364</v>
      </c>
      <c r="B365" s="6" t="s">
        <v>208</v>
      </c>
      <c r="C365" s="6" t="s">
        <v>71</v>
      </c>
      <c r="D365" s="6" t="s">
        <v>13</v>
      </c>
      <c r="E365" s="6" t="s">
        <v>19</v>
      </c>
      <c r="F365" s="6" t="s">
        <v>15</v>
      </c>
      <c r="G365" s="6">
        <v>4</v>
      </c>
      <c r="H365" s="6">
        <v>4500</v>
      </c>
      <c r="I365" s="6">
        <v>18000</v>
      </c>
      <c r="J365" s="6" t="s">
        <v>20</v>
      </c>
      <c r="K365" s="6" t="str">
        <f>TEXT(Table1[[#This Row],[OrderDate]],"mmm")</f>
        <v>Jan</v>
      </c>
    </row>
    <row r="366" spans="1:11">
      <c r="A366" s="6">
        <v>1365</v>
      </c>
      <c r="B366" s="6" t="s">
        <v>109</v>
      </c>
      <c r="C366" s="6" t="s">
        <v>54</v>
      </c>
      <c r="D366" s="6" t="s">
        <v>18</v>
      </c>
      <c r="E366" s="6" t="s">
        <v>33</v>
      </c>
      <c r="F366" s="6" t="s">
        <v>27</v>
      </c>
      <c r="G366" s="6">
        <v>4</v>
      </c>
      <c r="H366" s="6">
        <v>55000</v>
      </c>
      <c r="I366" s="6">
        <v>220000</v>
      </c>
      <c r="J366" s="6" t="s">
        <v>16</v>
      </c>
      <c r="K366" s="6" t="str">
        <f>TEXT(Table1[[#This Row],[OrderDate]],"mmm")</f>
        <v>Nov</v>
      </c>
    </row>
    <row r="367" spans="1:11">
      <c r="A367" s="6">
        <v>1366</v>
      </c>
      <c r="B367" s="6" t="s">
        <v>79</v>
      </c>
      <c r="C367" s="6" t="s">
        <v>12</v>
      </c>
      <c r="D367" s="6" t="s">
        <v>30</v>
      </c>
      <c r="E367" s="6" t="s">
        <v>19</v>
      </c>
      <c r="F367" s="6" t="s">
        <v>15</v>
      </c>
      <c r="G367" s="6">
        <v>4</v>
      </c>
      <c r="H367" s="6">
        <v>4500</v>
      </c>
      <c r="I367" s="6">
        <v>18000</v>
      </c>
      <c r="J367" s="6" t="s">
        <v>34</v>
      </c>
      <c r="K367" s="6" t="str">
        <f>TEXT(Table1[[#This Row],[OrderDate]],"mmm")</f>
        <v>Nov</v>
      </c>
    </row>
    <row r="368" spans="1:11">
      <c r="A368" s="6">
        <v>1367</v>
      </c>
      <c r="B368" s="6" t="s">
        <v>147</v>
      </c>
      <c r="C368" s="6" t="s">
        <v>54</v>
      </c>
      <c r="D368" s="6" t="s">
        <v>13</v>
      </c>
      <c r="E368" s="6" t="s">
        <v>19</v>
      </c>
      <c r="F368" s="6" t="s">
        <v>15</v>
      </c>
      <c r="G368" s="6">
        <v>2</v>
      </c>
      <c r="H368" s="6">
        <v>4500</v>
      </c>
      <c r="I368" s="6">
        <v>9000</v>
      </c>
      <c r="J368" s="6" t="s">
        <v>38</v>
      </c>
      <c r="K368" s="6" t="str">
        <f>TEXT(Table1[[#This Row],[OrderDate]],"mmm")</f>
        <v>Jan</v>
      </c>
    </row>
    <row r="369" spans="1:11">
      <c r="A369" s="6">
        <v>1368</v>
      </c>
      <c r="B369" s="6" t="s">
        <v>163</v>
      </c>
      <c r="C369" s="6" t="s">
        <v>42</v>
      </c>
      <c r="D369" s="6" t="s">
        <v>13</v>
      </c>
      <c r="E369" s="6" t="s">
        <v>14</v>
      </c>
      <c r="F369" s="6" t="s">
        <v>15</v>
      </c>
      <c r="G369" s="6">
        <v>1</v>
      </c>
      <c r="H369" s="6">
        <v>8000</v>
      </c>
      <c r="I369" s="6">
        <v>8000</v>
      </c>
      <c r="J369" s="6" t="s">
        <v>38</v>
      </c>
      <c r="K369" s="6" t="str">
        <f>TEXT(Table1[[#This Row],[OrderDate]],"mmm")</f>
        <v>Apr</v>
      </c>
    </row>
    <row r="370" spans="1:11">
      <c r="A370" s="6">
        <v>1369</v>
      </c>
      <c r="B370" s="6" t="s">
        <v>155</v>
      </c>
      <c r="C370" s="6" t="s">
        <v>32</v>
      </c>
      <c r="D370" s="6" t="s">
        <v>18</v>
      </c>
      <c r="E370" s="6" t="s">
        <v>14</v>
      </c>
      <c r="F370" s="6" t="s">
        <v>15</v>
      </c>
      <c r="G370" s="6">
        <v>3</v>
      </c>
      <c r="H370" s="6">
        <v>8000</v>
      </c>
      <c r="I370" s="6">
        <v>24000</v>
      </c>
      <c r="J370" s="6" t="s">
        <v>34</v>
      </c>
      <c r="K370" s="6" t="str">
        <f>TEXT(Table1[[#This Row],[OrderDate]],"mmm")</f>
        <v>Jul</v>
      </c>
    </row>
    <row r="371" spans="1:11">
      <c r="A371" s="6">
        <v>1370</v>
      </c>
      <c r="B371" s="6" t="s">
        <v>184</v>
      </c>
      <c r="C371" s="6" t="s">
        <v>12</v>
      </c>
      <c r="D371" s="6" t="s">
        <v>30</v>
      </c>
      <c r="E371" s="6" t="s">
        <v>26</v>
      </c>
      <c r="F371" s="6" t="s">
        <v>27</v>
      </c>
      <c r="G371" s="6">
        <v>4</v>
      </c>
      <c r="H371" s="6">
        <v>15000</v>
      </c>
      <c r="I371" s="6">
        <v>60000</v>
      </c>
      <c r="J371" s="6" t="s">
        <v>16</v>
      </c>
      <c r="K371" s="6" t="str">
        <f>TEXT(Table1[[#This Row],[OrderDate]],"mmm")</f>
        <v>Jan</v>
      </c>
    </row>
    <row r="372" spans="1:11">
      <c r="A372" s="6">
        <v>1371</v>
      </c>
      <c r="B372" s="6" t="s">
        <v>95</v>
      </c>
      <c r="C372" s="6" t="s">
        <v>22</v>
      </c>
      <c r="D372" s="6" t="s">
        <v>13</v>
      </c>
      <c r="E372" s="6" t="s">
        <v>14</v>
      </c>
      <c r="F372" s="6" t="s">
        <v>15</v>
      </c>
      <c r="G372" s="6">
        <v>1</v>
      </c>
      <c r="H372" s="6">
        <v>8000</v>
      </c>
      <c r="I372" s="6">
        <v>8000</v>
      </c>
      <c r="J372" s="6" t="s">
        <v>20</v>
      </c>
      <c r="K372" s="6" t="str">
        <f>TEXT(Table1[[#This Row],[OrderDate]],"mmm")</f>
        <v>Oct</v>
      </c>
    </row>
    <row r="373" spans="1:11">
      <c r="A373" s="6">
        <v>1372</v>
      </c>
      <c r="B373" s="6" t="s">
        <v>138</v>
      </c>
      <c r="C373" s="6" t="s">
        <v>12</v>
      </c>
      <c r="D373" s="6" t="s">
        <v>23</v>
      </c>
      <c r="E373" s="6" t="s">
        <v>40</v>
      </c>
      <c r="F373" s="6" t="s">
        <v>27</v>
      </c>
      <c r="G373" s="6">
        <v>5</v>
      </c>
      <c r="H373" s="6">
        <v>20000</v>
      </c>
      <c r="I373" s="6">
        <v>100000</v>
      </c>
      <c r="J373" s="6" t="s">
        <v>34</v>
      </c>
      <c r="K373" s="6" t="str">
        <f>TEXT(Table1[[#This Row],[OrderDate]],"mmm")</f>
        <v>Dec</v>
      </c>
    </row>
    <row r="374" spans="1:11">
      <c r="A374" s="6">
        <v>1373</v>
      </c>
      <c r="B374" s="6" t="s">
        <v>264</v>
      </c>
      <c r="C374" s="6" t="s">
        <v>25</v>
      </c>
      <c r="D374" s="6" t="s">
        <v>13</v>
      </c>
      <c r="E374" s="6" t="s">
        <v>43</v>
      </c>
      <c r="F374" s="6" t="s">
        <v>44</v>
      </c>
      <c r="G374" s="6">
        <v>3</v>
      </c>
      <c r="H374" s="6">
        <v>150</v>
      </c>
      <c r="I374" s="6">
        <v>450</v>
      </c>
      <c r="J374" s="6" t="s">
        <v>34</v>
      </c>
      <c r="K374" s="6" t="str">
        <f>TEXT(Table1[[#This Row],[OrderDate]],"mmm")</f>
        <v>Sep</v>
      </c>
    </row>
    <row r="375" spans="1:11">
      <c r="A375" s="6">
        <v>1374</v>
      </c>
      <c r="B375" s="6" t="s">
        <v>265</v>
      </c>
      <c r="C375" s="6" t="s">
        <v>12</v>
      </c>
      <c r="D375" s="6" t="s">
        <v>13</v>
      </c>
      <c r="E375" s="6" t="s">
        <v>26</v>
      </c>
      <c r="F375" s="6" t="s">
        <v>27</v>
      </c>
      <c r="G375" s="6">
        <v>3</v>
      </c>
      <c r="H375" s="6">
        <v>15000</v>
      </c>
      <c r="I375" s="6">
        <v>45000</v>
      </c>
      <c r="J375" s="6" t="s">
        <v>16</v>
      </c>
      <c r="K375" s="6" t="str">
        <f>TEXT(Table1[[#This Row],[OrderDate]],"mmm")</f>
        <v>Apr</v>
      </c>
    </row>
    <row r="376" spans="1:11">
      <c r="A376" s="6">
        <v>1375</v>
      </c>
      <c r="B376" s="6" t="s">
        <v>266</v>
      </c>
      <c r="C376" s="6" t="s">
        <v>60</v>
      </c>
      <c r="D376" s="6" t="s">
        <v>18</v>
      </c>
      <c r="E376" s="6" t="s">
        <v>57</v>
      </c>
      <c r="F376" s="6" t="s">
        <v>44</v>
      </c>
      <c r="G376" s="6">
        <v>3</v>
      </c>
      <c r="H376" s="6">
        <v>20</v>
      </c>
      <c r="I376" s="6">
        <v>60</v>
      </c>
      <c r="J376" s="6" t="s">
        <v>16</v>
      </c>
      <c r="K376" s="6" t="str">
        <f>TEXT(Table1[[#This Row],[OrderDate]],"mmm")</f>
        <v>May</v>
      </c>
    </row>
    <row r="377" spans="1:11">
      <c r="A377" s="6">
        <v>1376</v>
      </c>
      <c r="B377" s="6" t="s">
        <v>267</v>
      </c>
      <c r="C377" s="6" t="s">
        <v>71</v>
      </c>
      <c r="D377" s="6" t="s">
        <v>18</v>
      </c>
      <c r="E377" s="6" t="s">
        <v>14</v>
      </c>
      <c r="F377" s="6" t="s">
        <v>15</v>
      </c>
      <c r="G377" s="6">
        <v>3</v>
      </c>
      <c r="H377" s="6">
        <v>8000</v>
      </c>
      <c r="I377" s="6">
        <v>24000</v>
      </c>
      <c r="J377" s="6" t="s">
        <v>34</v>
      </c>
      <c r="K377" s="6" t="str">
        <f>TEXT(Table1[[#This Row],[OrderDate]],"mmm")</f>
        <v>Feb</v>
      </c>
    </row>
    <row r="378" spans="1:11">
      <c r="A378" s="6">
        <v>1377</v>
      </c>
      <c r="B378" s="6" t="s">
        <v>268</v>
      </c>
      <c r="C378" s="6" t="s">
        <v>12</v>
      </c>
      <c r="D378" s="6" t="s">
        <v>18</v>
      </c>
      <c r="E378" s="6" t="s">
        <v>33</v>
      </c>
      <c r="F378" s="6" t="s">
        <v>27</v>
      </c>
      <c r="G378" s="6">
        <v>4</v>
      </c>
      <c r="H378" s="6">
        <v>55000</v>
      </c>
      <c r="I378" s="6">
        <v>220000</v>
      </c>
      <c r="J378" s="6" t="s">
        <v>16</v>
      </c>
      <c r="K378" s="6" t="str">
        <f>TEXT(Table1[[#This Row],[OrderDate]],"mmm")</f>
        <v>Dec</v>
      </c>
    </row>
    <row r="379" spans="1:11">
      <c r="A379" s="6">
        <v>1378</v>
      </c>
      <c r="B379" s="6" t="s">
        <v>143</v>
      </c>
      <c r="C379" s="6" t="s">
        <v>47</v>
      </c>
      <c r="D379" s="6" t="s">
        <v>23</v>
      </c>
      <c r="E379" s="6" t="s">
        <v>50</v>
      </c>
      <c r="F379" s="6" t="s">
        <v>51</v>
      </c>
      <c r="G379" s="6">
        <v>3</v>
      </c>
      <c r="H379" s="6">
        <v>2000</v>
      </c>
      <c r="I379" s="6">
        <v>6000</v>
      </c>
      <c r="J379" s="6" t="s">
        <v>38</v>
      </c>
      <c r="K379" s="6" t="str">
        <f>TEXT(Table1[[#This Row],[OrderDate]],"mmm")</f>
        <v>Jul</v>
      </c>
    </row>
    <row r="380" spans="1:11">
      <c r="A380" s="6">
        <v>1379</v>
      </c>
      <c r="B380" s="6" t="s">
        <v>269</v>
      </c>
      <c r="C380" s="6" t="s">
        <v>32</v>
      </c>
      <c r="D380" s="6" t="s">
        <v>23</v>
      </c>
      <c r="E380" s="6" t="s">
        <v>14</v>
      </c>
      <c r="F380" s="6" t="s">
        <v>15</v>
      </c>
      <c r="G380" s="6">
        <v>3</v>
      </c>
      <c r="H380" s="6">
        <v>8000</v>
      </c>
      <c r="I380" s="6">
        <v>24000</v>
      </c>
      <c r="J380" s="6" t="s">
        <v>20</v>
      </c>
      <c r="K380" s="6" t="str">
        <f>TEXT(Table1[[#This Row],[OrderDate]],"mmm")</f>
        <v>Feb</v>
      </c>
    </row>
    <row r="381" spans="1:11">
      <c r="A381" s="6">
        <v>1380</v>
      </c>
      <c r="B381" s="6" t="s">
        <v>227</v>
      </c>
      <c r="C381" s="6" t="s">
        <v>32</v>
      </c>
      <c r="D381" s="6" t="s">
        <v>30</v>
      </c>
      <c r="E381" s="6" t="s">
        <v>26</v>
      </c>
      <c r="F381" s="6" t="s">
        <v>27</v>
      </c>
      <c r="G381" s="6">
        <v>1</v>
      </c>
      <c r="H381" s="6">
        <v>15000</v>
      </c>
      <c r="I381" s="6">
        <v>15000</v>
      </c>
      <c r="J381" s="6" t="s">
        <v>20</v>
      </c>
      <c r="K381" s="6" t="str">
        <f>TEXT(Table1[[#This Row],[OrderDate]],"mmm")</f>
        <v>Nov</v>
      </c>
    </row>
    <row r="382" spans="1:11">
      <c r="A382" s="6">
        <v>1381</v>
      </c>
      <c r="B382" s="6" t="s">
        <v>270</v>
      </c>
      <c r="C382" s="6" t="s">
        <v>42</v>
      </c>
      <c r="D382" s="6" t="s">
        <v>18</v>
      </c>
      <c r="E382" s="6" t="s">
        <v>33</v>
      </c>
      <c r="F382" s="6" t="s">
        <v>27</v>
      </c>
      <c r="G382" s="6">
        <v>5</v>
      </c>
      <c r="H382" s="6">
        <v>55000</v>
      </c>
      <c r="I382" s="6">
        <v>275000</v>
      </c>
      <c r="J382" s="6" t="s">
        <v>16</v>
      </c>
      <c r="K382" s="6" t="str">
        <f>TEXT(Table1[[#This Row],[OrderDate]],"mmm")</f>
        <v>Feb</v>
      </c>
    </row>
    <row r="383" spans="1:11">
      <c r="A383" s="6">
        <v>1382</v>
      </c>
      <c r="B383" s="6" t="s">
        <v>271</v>
      </c>
      <c r="C383" s="6" t="s">
        <v>25</v>
      </c>
      <c r="D383" s="6" t="s">
        <v>18</v>
      </c>
      <c r="E383" s="6" t="s">
        <v>40</v>
      </c>
      <c r="F383" s="6" t="s">
        <v>27</v>
      </c>
      <c r="G383" s="6">
        <v>5</v>
      </c>
      <c r="H383" s="6">
        <v>20000</v>
      </c>
      <c r="I383" s="6">
        <v>100000</v>
      </c>
      <c r="J383" s="6" t="s">
        <v>34</v>
      </c>
      <c r="K383" s="6" t="str">
        <f>TEXT(Table1[[#This Row],[OrderDate]],"mmm")</f>
        <v>Oct</v>
      </c>
    </row>
    <row r="384" spans="1:11">
      <c r="A384" s="6">
        <v>1383</v>
      </c>
      <c r="B384" s="6" t="s">
        <v>272</v>
      </c>
      <c r="C384" s="6" t="s">
        <v>32</v>
      </c>
      <c r="D384" s="6" t="s">
        <v>13</v>
      </c>
      <c r="E384" s="6" t="s">
        <v>40</v>
      </c>
      <c r="F384" s="6" t="s">
        <v>27</v>
      </c>
      <c r="G384" s="6">
        <v>4</v>
      </c>
      <c r="H384" s="6">
        <v>20000</v>
      </c>
      <c r="I384" s="6">
        <v>80000</v>
      </c>
      <c r="J384" s="6" t="s">
        <v>38</v>
      </c>
      <c r="K384" s="6" t="str">
        <f>TEXT(Table1[[#This Row],[OrderDate]],"mmm")</f>
        <v>Dec</v>
      </c>
    </row>
    <row r="385" spans="1:11">
      <c r="A385" s="6">
        <v>1384</v>
      </c>
      <c r="B385" s="6" t="s">
        <v>273</v>
      </c>
      <c r="C385" s="6" t="s">
        <v>47</v>
      </c>
      <c r="D385" s="6" t="s">
        <v>18</v>
      </c>
      <c r="E385" s="6" t="s">
        <v>14</v>
      </c>
      <c r="F385" s="6" t="s">
        <v>15</v>
      </c>
      <c r="G385" s="6">
        <v>1</v>
      </c>
      <c r="H385" s="6">
        <v>8000</v>
      </c>
      <c r="I385" s="6">
        <v>8000</v>
      </c>
      <c r="J385" s="6" t="s">
        <v>38</v>
      </c>
      <c r="K385" s="6" t="str">
        <f>TEXT(Table1[[#This Row],[OrderDate]],"mmm")</f>
        <v>May</v>
      </c>
    </row>
    <row r="386" spans="1:11">
      <c r="A386" s="6">
        <v>1385</v>
      </c>
      <c r="B386" s="6" t="s">
        <v>88</v>
      </c>
      <c r="C386" s="6" t="s">
        <v>25</v>
      </c>
      <c r="D386" s="6" t="s">
        <v>30</v>
      </c>
      <c r="E386" s="6" t="s">
        <v>40</v>
      </c>
      <c r="F386" s="6" t="s">
        <v>27</v>
      </c>
      <c r="G386" s="6">
        <v>2</v>
      </c>
      <c r="H386" s="6">
        <v>20000</v>
      </c>
      <c r="I386" s="6">
        <v>40000</v>
      </c>
      <c r="J386" s="6" t="s">
        <v>34</v>
      </c>
      <c r="K386" s="6" t="str">
        <f>TEXT(Table1[[#This Row],[OrderDate]],"mmm")</f>
        <v>Sep</v>
      </c>
    </row>
    <row r="387" spans="1:11">
      <c r="A387" s="6">
        <v>1386</v>
      </c>
      <c r="B387" s="6" t="s">
        <v>274</v>
      </c>
      <c r="C387" s="6" t="s">
        <v>29</v>
      </c>
      <c r="D387" s="6" t="s">
        <v>30</v>
      </c>
      <c r="E387" s="6" t="s">
        <v>26</v>
      </c>
      <c r="F387" s="6" t="s">
        <v>27</v>
      </c>
      <c r="G387" s="6">
        <v>2</v>
      </c>
      <c r="H387" s="6">
        <v>15000</v>
      </c>
      <c r="I387" s="6">
        <v>30000</v>
      </c>
      <c r="J387" s="6" t="s">
        <v>16</v>
      </c>
      <c r="K387" s="6" t="str">
        <f>TEXT(Table1[[#This Row],[OrderDate]],"mmm")</f>
        <v>May</v>
      </c>
    </row>
    <row r="388" spans="1:11">
      <c r="A388" s="6">
        <v>1387</v>
      </c>
      <c r="B388" s="6" t="s">
        <v>266</v>
      </c>
      <c r="C388" s="6" t="s">
        <v>54</v>
      </c>
      <c r="D388" s="6" t="s">
        <v>30</v>
      </c>
      <c r="E388" s="6" t="s">
        <v>26</v>
      </c>
      <c r="F388" s="6" t="s">
        <v>27</v>
      </c>
      <c r="G388" s="6">
        <v>5</v>
      </c>
      <c r="H388" s="6">
        <v>15000</v>
      </c>
      <c r="I388" s="6">
        <v>75000</v>
      </c>
      <c r="J388" s="6" t="s">
        <v>34</v>
      </c>
      <c r="K388" s="6" t="str">
        <f>TEXT(Table1[[#This Row],[OrderDate]],"mmm")</f>
        <v>May</v>
      </c>
    </row>
    <row r="389" spans="1:11">
      <c r="A389" s="6">
        <v>1388</v>
      </c>
      <c r="B389" s="6" t="s">
        <v>275</v>
      </c>
      <c r="C389" s="6" t="s">
        <v>29</v>
      </c>
      <c r="D389" s="6" t="s">
        <v>30</v>
      </c>
      <c r="E389" s="6" t="s">
        <v>43</v>
      </c>
      <c r="F389" s="6" t="s">
        <v>44</v>
      </c>
      <c r="G389" s="6">
        <v>2</v>
      </c>
      <c r="H389" s="6">
        <v>150</v>
      </c>
      <c r="I389" s="6">
        <v>300</v>
      </c>
      <c r="J389" s="6" t="s">
        <v>16</v>
      </c>
      <c r="K389" s="6" t="str">
        <f>TEXT(Table1[[#This Row],[OrderDate]],"mmm")</f>
        <v>Jan</v>
      </c>
    </row>
    <row r="390" spans="1:11">
      <c r="A390" s="6">
        <v>1389</v>
      </c>
      <c r="B390" s="6" t="s">
        <v>49</v>
      </c>
      <c r="C390" s="6" t="s">
        <v>47</v>
      </c>
      <c r="D390" s="6" t="s">
        <v>30</v>
      </c>
      <c r="E390" s="6" t="s">
        <v>50</v>
      </c>
      <c r="F390" s="6" t="s">
        <v>51</v>
      </c>
      <c r="G390" s="6">
        <v>1</v>
      </c>
      <c r="H390" s="6">
        <v>2000</v>
      </c>
      <c r="I390" s="6">
        <v>2000</v>
      </c>
      <c r="J390" s="6" t="s">
        <v>38</v>
      </c>
      <c r="K390" s="6" t="str">
        <f>TEXT(Table1[[#This Row],[OrderDate]],"mmm")</f>
        <v>Feb</v>
      </c>
    </row>
    <row r="391" spans="1:11">
      <c r="A391" s="6">
        <v>1390</v>
      </c>
      <c r="B391" s="6" t="s">
        <v>276</v>
      </c>
      <c r="C391" s="6" t="s">
        <v>22</v>
      </c>
      <c r="D391" s="6" t="s">
        <v>13</v>
      </c>
      <c r="E391" s="6" t="s">
        <v>26</v>
      </c>
      <c r="F391" s="6" t="s">
        <v>27</v>
      </c>
      <c r="G391" s="6">
        <v>2</v>
      </c>
      <c r="H391" s="6">
        <v>15000</v>
      </c>
      <c r="I391" s="6">
        <v>30000</v>
      </c>
      <c r="J391" s="6" t="s">
        <v>38</v>
      </c>
      <c r="K391" s="6" t="str">
        <f>TEXT(Table1[[#This Row],[OrderDate]],"mmm")</f>
        <v>Jun</v>
      </c>
    </row>
    <row r="392" spans="1:11">
      <c r="A392" s="6">
        <v>1391</v>
      </c>
      <c r="B392" s="6" t="s">
        <v>271</v>
      </c>
      <c r="C392" s="6" t="s">
        <v>29</v>
      </c>
      <c r="D392" s="6" t="s">
        <v>13</v>
      </c>
      <c r="E392" s="6" t="s">
        <v>14</v>
      </c>
      <c r="F392" s="6" t="s">
        <v>15</v>
      </c>
      <c r="G392" s="6">
        <v>3</v>
      </c>
      <c r="H392" s="6">
        <v>8000</v>
      </c>
      <c r="I392" s="6">
        <v>24000</v>
      </c>
      <c r="J392" s="6" t="s">
        <v>34</v>
      </c>
      <c r="K392" s="6" t="str">
        <f>TEXT(Table1[[#This Row],[OrderDate]],"mmm")</f>
        <v>Oct</v>
      </c>
    </row>
    <row r="393" spans="1:11">
      <c r="A393" s="6">
        <v>1392</v>
      </c>
      <c r="B393" s="6" t="s">
        <v>135</v>
      </c>
      <c r="C393" s="6" t="s">
        <v>54</v>
      </c>
      <c r="D393" s="6" t="s">
        <v>23</v>
      </c>
      <c r="E393" s="6" t="s">
        <v>19</v>
      </c>
      <c r="F393" s="6" t="s">
        <v>15</v>
      </c>
      <c r="G393" s="6">
        <v>2</v>
      </c>
      <c r="H393" s="6">
        <v>4500</v>
      </c>
      <c r="I393" s="6">
        <v>9000</v>
      </c>
      <c r="J393" s="6" t="s">
        <v>34</v>
      </c>
      <c r="K393" s="6" t="str">
        <f>TEXT(Table1[[#This Row],[OrderDate]],"mmm")</f>
        <v>Apr</v>
      </c>
    </row>
    <row r="394" spans="1:11">
      <c r="A394" s="6">
        <v>1393</v>
      </c>
      <c r="B394" s="6" t="s">
        <v>277</v>
      </c>
      <c r="C394" s="6" t="s">
        <v>32</v>
      </c>
      <c r="D394" s="6" t="s">
        <v>30</v>
      </c>
      <c r="E394" s="6" t="s">
        <v>14</v>
      </c>
      <c r="F394" s="6" t="s">
        <v>15</v>
      </c>
      <c r="G394" s="6">
        <v>2</v>
      </c>
      <c r="H394" s="6">
        <v>8000</v>
      </c>
      <c r="I394" s="6">
        <v>16000</v>
      </c>
      <c r="J394" s="6" t="s">
        <v>38</v>
      </c>
      <c r="K394" s="6" t="str">
        <f>TEXT(Table1[[#This Row],[OrderDate]],"mmm")</f>
        <v>Dec</v>
      </c>
    </row>
    <row r="395" spans="1:11">
      <c r="A395" s="6">
        <v>1394</v>
      </c>
      <c r="B395" s="6" t="s">
        <v>278</v>
      </c>
      <c r="C395" s="6" t="s">
        <v>54</v>
      </c>
      <c r="D395" s="6" t="s">
        <v>18</v>
      </c>
      <c r="E395" s="6" t="s">
        <v>33</v>
      </c>
      <c r="F395" s="6" t="s">
        <v>27</v>
      </c>
      <c r="G395" s="6">
        <v>5</v>
      </c>
      <c r="H395" s="6">
        <v>55000</v>
      </c>
      <c r="I395" s="6">
        <v>275000</v>
      </c>
      <c r="J395" s="6" t="s">
        <v>38</v>
      </c>
      <c r="K395" s="6" t="str">
        <f>TEXT(Table1[[#This Row],[OrderDate]],"mmm")</f>
        <v>Jan</v>
      </c>
    </row>
    <row r="396" spans="1:11">
      <c r="A396" s="6">
        <v>1395</v>
      </c>
      <c r="B396" s="6" t="s">
        <v>279</v>
      </c>
      <c r="C396" s="6" t="s">
        <v>25</v>
      </c>
      <c r="D396" s="6" t="s">
        <v>23</v>
      </c>
      <c r="E396" s="6" t="s">
        <v>57</v>
      </c>
      <c r="F396" s="6" t="s">
        <v>44</v>
      </c>
      <c r="G396" s="6">
        <v>1</v>
      </c>
      <c r="H396" s="6">
        <v>20</v>
      </c>
      <c r="I396" s="6">
        <v>20</v>
      </c>
      <c r="J396" s="6" t="s">
        <v>20</v>
      </c>
      <c r="K396" s="6" t="str">
        <f>TEXT(Table1[[#This Row],[OrderDate]],"mmm")</f>
        <v>Feb</v>
      </c>
    </row>
    <row r="397" spans="1:11">
      <c r="A397" s="6">
        <v>1396</v>
      </c>
      <c r="B397" s="6" t="s">
        <v>75</v>
      </c>
      <c r="C397" s="6" t="s">
        <v>29</v>
      </c>
      <c r="D397" s="6" t="s">
        <v>13</v>
      </c>
      <c r="E397" s="6" t="s">
        <v>43</v>
      </c>
      <c r="F397" s="6" t="s">
        <v>44</v>
      </c>
      <c r="G397" s="6">
        <v>3</v>
      </c>
      <c r="H397" s="6">
        <v>150</v>
      </c>
      <c r="I397" s="6">
        <v>450</v>
      </c>
      <c r="J397" s="6" t="s">
        <v>16</v>
      </c>
      <c r="K397" s="6" t="str">
        <f>TEXT(Table1[[#This Row],[OrderDate]],"mmm")</f>
        <v>Oct</v>
      </c>
    </row>
    <row r="398" spans="1:11">
      <c r="A398" s="6">
        <v>1397</v>
      </c>
      <c r="B398" s="6" t="s">
        <v>199</v>
      </c>
      <c r="C398" s="6" t="s">
        <v>25</v>
      </c>
      <c r="D398" s="6" t="s">
        <v>23</v>
      </c>
      <c r="E398" s="6" t="s">
        <v>33</v>
      </c>
      <c r="F398" s="6" t="s">
        <v>27</v>
      </c>
      <c r="G398" s="6">
        <v>2</v>
      </c>
      <c r="H398" s="6">
        <v>55000</v>
      </c>
      <c r="I398" s="6">
        <v>110000</v>
      </c>
      <c r="J398" s="6" t="s">
        <v>20</v>
      </c>
      <c r="K398" s="6" t="str">
        <f>TEXT(Table1[[#This Row],[OrderDate]],"mmm")</f>
        <v>Aug</v>
      </c>
    </row>
    <row r="399" spans="1:11">
      <c r="A399" s="6">
        <v>1398</v>
      </c>
      <c r="B399" s="6" t="s">
        <v>280</v>
      </c>
      <c r="C399" s="6" t="s">
        <v>47</v>
      </c>
      <c r="D399" s="6" t="s">
        <v>13</v>
      </c>
      <c r="E399" s="6" t="s">
        <v>26</v>
      </c>
      <c r="F399" s="6" t="s">
        <v>27</v>
      </c>
      <c r="G399" s="6">
        <v>2</v>
      </c>
      <c r="H399" s="6">
        <v>15000</v>
      </c>
      <c r="I399" s="6">
        <v>30000</v>
      </c>
      <c r="J399" s="6" t="s">
        <v>20</v>
      </c>
      <c r="K399" s="6" t="str">
        <f>TEXT(Table1[[#This Row],[OrderDate]],"mmm")</f>
        <v>Jul</v>
      </c>
    </row>
    <row r="400" spans="1:11">
      <c r="A400" s="6">
        <v>1399</v>
      </c>
      <c r="B400" s="6" t="s">
        <v>84</v>
      </c>
      <c r="C400" s="6" t="s">
        <v>22</v>
      </c>
      <c r="D400" s="6" t="s">
        <v>23</v>
      </c>
      <c r="E400" s="6" t="s">
        <v>43</v>
      </c>
      <c r="F400" s="6" t="s">
        <v>44</v>
      </c>
      <c r="G400" s="6">
        <v>1</v>
      </c>
      <c r="H400" s="6">
        <v>150</v>
      </c>
      <c r="I400" s="6">
        <v>150</v>
      </c>
      <c r="J400" s="6" t="s">
        <v>38</v>
      </c>
      <c r="K400" s="6" t="str">
        <f>TEXT(Table1[[#This Row],[OrderDate]],"mmm")</f>
        <v>Nov</v>
      </c>
    </row>
    <row r="401" spans="1:11">
      <c r="A401" s="6">
        <v>1400</v>
      </c>
      <c r="B401" s="6" t="s">
        <v>88</v>
      </c>
      <c r="C401" s="6" t="s">
        <v>32</v>
      </c>
      <c r="D401" s="6" t="s">
        <v>18</v>
      </c>
      <c r="E401" s="6" t="s">
        <v>50</v>
      </c>
      <c r="F401" s="6" t="s">
        <v>51</v>
      </c>
      <c r="G401" s="6">
        <v>2</v>
      </c>
      <c r="H401" s="6">
        <v>2000</v>
      </c>
      <c r="I401" s="6">
        <v>4000</v>
      </c>
      <c r="J401" s="6" t="s">
        <v>16</v>
      </c>
      <c r="K401" s="6" t="str">
        <f>TEXT(Table1[[#This Row],[OrderDate]],"mmm")</f>
        <v>Sep</v>
      </c>
    </row>
    <row r="402" spans="1:11">
      <c r="A402" s="6">
        <v>1401</v>
      </c>
      <c r="B402" s="6" t="s">
        <v>227</v>
      </c>
      <c r="C402" s="6" t="s">
        <v>12</v>
      </c>
      <c r="D402" s="6" t="s">
        <v>30</v>
      </c>
      <c r="E402" s="6" t="s">
        <v>26</v>
      </c>
      <c r="F402" s="6" t="s">
        <v>27</v>
      </c>
      <c r="G402" s="6">
        <v>4</v>
      </c>
      <c r="H402" s="6">
        <v>15000</v>
      </c>
      <c r="I402" s="6">
        <v>60000</v>
      </c>
      <c r="J402" s="6" t="s">
        <v>20</v>
      </c>
      <c r="K402" s="6" t="str">
        <f>TEXT(Table1[[#This Row],[OrderDate]],"mmm")</f>
        <v>Nov</v>
      </c>
    </row>
    <row r="403" spans="1:11">
      <c r="A403" s="6">
        <v>1402</v>
      </c>
      <c r="B403" s="6" t="s">
        <v>281</v>
      </c>
      <c r="C403" s="6" t="s">
        <v>32</v>
      </c>
      <c r="D403" s="6" t="s">
        <v>30</v>
      </c>
      <c r="E403" s="6" t="s">
        <v>50</v>
      </c>
      <c r="F403" s="6" t="s">
        <v>51</v>
      </c>
      <c r="G403" s="6">
        <v>2</v>
      </c>
      <c r="H403" s="6">
        <v>2000</v>
      </c>
      <c r="I403" s="6">
        <v>4000</v>
      </c>
      <c r="J403" s="6" t="s">
        <v>38</v>
      </c>
      <c r="K403" s="6" t="str">
        <f>TEXT(Table1[[#This Row],[OrderDate]],"mmm")</f>
        <v>Apr</v>
      </c>
    </row>
    <row r="404" spans="1:11">
      <c r="A404" s="6">
        <v>1403</v>
      </c>
      <c r="B404" s="6" t="s">
        <v>229</v>
      </c>
      <c r="C404" s="6" t="s">
        <v>32</v>
      </c>
      <c r="D404" s="6" t="s">
        <v>23</v>
      </c>
      <c r="E404" s="6" t="s">
        <v>33</v>
      </c>
      <c r="F404" s="6" t="s">
        <v>27</v>
      </c>
      <c r="G404" s="6">
        <v>2</v>
      </c>
      <c r="H404" s="6">
        <v>55000</v>
      </c>
      <c r="I404" s="6">
        <v>110000</v>
      </c>
      <c r="J404" s="6" t="s">
        <v>38</v>
      </c>
      <c r="K404" s="6" t="str">
        <f>TEXT(Table1[[#This Row],[OrderDate]],"mmm")</f>
        <v>Dec</v>
      </c>
    </row>
    <row r="405" spans="1:11">
      <c r="A405" s="6">
        <v>1404</v>
      </c>
      <c r="B405" s="6" t="s">
        <v>282</v>
      </c>
      <c r="C405" s="6" t="s">
        <v>12</v>
      </c>
      <c r="D405" s="6" t="s">
        <v>18</v>
      </c>
      <c r="E405" s="6" t="s">
        <v>19</v>
      </c>
      <c r="F405" s="6" t="s">
        <v>15</v>
      </c>
      <c r="G405" s="6">
        <v>3</v>
      </c>
      <c r="H405" s="6">
        <v>4500</v>
      </c>
      <c r="I405" s="6">
        <v>13500</v>
      </c>
      <c r="J405" s="6" t="s">
        <v>20</v>
      </c>
      <c r="K405" s="6" t="str">
        <f>TEXT(Table1[[#This Row],[OrderDate]],"mmm")</f>
        <v>Dec</v>
      </c>
    </row>
    <row r="406" spans="1:11">
      <c r="A406" s="6">
        <v>1405</v>
      </c>
      <c r="B406" s="6" t="s">
        <v>168</v>
      </c>
      <c r="C406" s="6" t="s">
        <v>29</v>
      </c>
      <c r="D406" s="6" t="s">
        <v>30</v>
      </c>
      <c r="E406" s="6" t="s">
        <v>40</v>
      </c>
      <c r="F406" s="6" t="s">
        <v>27</v>
      </c>
      <c r="G406" s="6">
        <v>1</v>
      </c>
      <c r="H406" s="6">
        <v>20000</v>
      </c>
      <c r="I406" s="6">
        <v>20000</v>
      </c>
      <c r="J406" s="6" t="s">
        <v>16</v>
      </c>
      <c r="K406" s="6" t="str">
        <f>TEXT(Table1[[#This Row],[OrderDate]],"mmm")</f>
        <v>Mar</v>
      </c>
    </row>
    <row r="407" spans="1:11">
      <c r="A407" s="6">
        <v>1406</v>
      </c>
      <c r="B407" s="6" t="s">
        <v>140</v>
      </c>
      <c r="C407" s="6" t="s">
        <v>60</v>
      </c>
      <c r="D407" s="6" t="s">
        <v>13</v>
      </c>
      <c r="E407" s="6" t="s">
        <v>57</v>
      </c>
      <c r="F407" s="6" t="s">
        <v>44</v>
      </c>
      <c r="G407" s="6">
        <v>2</v>
      </c>
      <c r="H407" s="6">
        <v>20</v>
      </c>
      <c r="I407" s="6">
        <v>40</v>
      </c>
      <c r="J407" s="6" t="s">
        <v>20</v>
      </c>
      <c r="K407" s="6" t="str">
        <f>TEXT(Table1[[#This Row],[OrderDate]],"mmm")</f>
        <v>Jan</v>
      </c>
    </row>
    <row r="408" spans="1:11">
      <c r="A408" s="6">
        <v>1407</v>
      </c>
      <c r="B408" s="6" t="s">
        <v>102</v>
      </c>
      <c r="C408" s="6" t="s">
        <v>32</v>
      </c>
      <c r="D408" s="6" t="s">
        <v>18</v>
      </c>
      <c r="E408" s="6" t="s">
        <v>14</v>
      </c>
      <c r="F408" s="6" t="s">
        <v>15</v>
      </c>
      <c r="G408" s="6">
        <v>3</v>
      </c>
      <c r="H408" s="6">
        <v>8000</v>
      </c>
      <c r="I408" s="6">
        <v>24000</v>
      </c>
      <c r="J408" s="6" t="s">
        <v>20</v>
      </c>
      <c r="K408" s="6" t="str">
        <f>TEXT(Table1[[#This Row],[OrderDate]],"mmm")</f>
        <v>Jan</v>
      </c>
    </row>
    <row r="409" spans="1:11">
      <c r="A409" s="6">
        <v>1408</v>
      </c>
      <c r="B409" s="6" t="s">
        <v>188</v>
      </c>
      <c r="C409" s="6" t="s">
        <v>22</v>
      </c>
      <c r="D409" s="6" t="s">
        <v>30</v>
      </c>
      <c r="E409" s="6" t="s">
        <v>33</v>
      </c>
      <c r="F409" s="6" t="s">
        <v>27</v>
      </c>
      <c r="G409" s="6">
        <v>3</v>
      </c>
      <c r="H409" s="6">
        <v>55000</v>
      </c>
      <c r="I409" s="6">
        <v>165000</v>
      </c>
      <c r="J409" s="6" t="s">
        <v>38</v>
      </c>
      <c r="K409" s="6" t="str">
        <f>TEXT(Table1[[#This Row],[OrderDate]],"mmm")</f>
        <v>Feb</v>
      </c>
    </row>
    <row r="410" spans="1:11">
      <c r="A410" s="6">
        <v>1409</v>
      </c>
      <c r="B410" s="6" t="s">
        <v>158</v>
      </c>
      <c r="C410" s="6" t="s">
        <v>71</v>
      </c>
      <c r="D410" s="6" t="s">
        <v>18</v>
      </c>
      <c r="E410" s="6" t="s">
        <v>57</v>
      </c>
      <c r="F410" s="6" t="s">
        <v>44</v>
      </c>
      <c r="G410" s="6">
        <v>3</v>
      </c>
      <c r="H410" s="6">
        <v>20</v>
      </c>
      <c r="I410" s="6">
        <v>60</v>
      </c>
      <c r="J410" s="6" t="s">
        <v>38</v>
      </c>
      <c r="K410" s="6" t="str">
        <f>TEXT(Table1[[#This Row],[OrderDate]],"mmm")</f>
        <v>Apr</v>
      </c>
    </row>
    <row r="411" spans="1:11">
      <c r="A411" s="6">
        <v>1410</v>
      </c>
      <c r="B411" s="6" t="s">
        <v>252</v>
      </c>
      <c r="C411" s="6" t="s">
        <v>71</v>
      </c>
      <c r="D411" s="6" t="s">
        <v>30</v>
      </c>
      <c r="E411" s="6" t="s">
        <v>50</v>
      </c>
      <c r="F411" s="6" t="s">
        <v>51</v>
      </c>
      <c r="G411" s="6">
        <v>4</v>
      </c>
      <c r="H411" s="6">
        <v>2000</v>
      </c>
      <c r="I411" s="6">
        <v>8000</v>
      </c>
      <c r="J411" s="6" t="s">
        <v>38</v>
      </c>
      <c r="K411" s="6" t="str">
        <f>TEXT(Table1[[#This Row],[OrderDate]],"mmm")</f>
        <v>Jul</v>
      </c>
    </row>
    <row r="412" spans="1:11">
      <c r="A412" s="6">
        <v>1411</v>
      </c>
      <c r="B412" s="6" t="s">
        <v>282</v>
      </c>
      <c r="C412" s="6" t="s">
        <v>12</v>
      </c>
      <c r="D412" s="6" t="s">
        <v>18</v>
      </c>
      <c r="E412" s="6" t="s">
        <v>19</v>
      </c>
      <c r="F412" s="6" t="s">
        <v>15</v>
      </c>
      <c r="G412" s="6">
        <v>3</v>
      </c>
      <c r="H412" s="6">
        <v>4500</v>
      </c>
      <c r="I412" s="6">
        <v>13500</v>
      </c>
      <c r="J412" s="6" t="s">
        <v>34</v>
      </c>
      <c r="K412" s="6" t="str">
        <f>TEXT(Table1[[#This Row],[OrderDate]],"mmm")</f>
        <v>Dec</v>
      </c>
    </row>
    <row r="413" spans="1:11">
      <c r="A413" s="6">
        <v>1412</v>
      </c>
      <c r="B413" s="6" t="s">
        <v>127</v>
      </c>
      <c r="C413" s="6" t="s">
        <v>25</v>
      </c>
      <c r="D413" s="6" t="s">
        <v>13</v>
      </c>
      <c r="E413" s="6" t="s">
        <v>50</v>
      </c>
      <c r="F413" s="6" t="s">
        <v>51</v>
      </c>
      <c r="G413" s="6">
        <v>1</v>
      </c>
      <c r="H413" s="6">
        <v>2000</v>
      </c>
      <c r="I413" s="6">
        <v>2000</v>
      </c>
      <c r="J413" s="6" t="s">
        <v>38</v>
      </c>
      <c r="K413" s="6" t="str">
        <f>TEXT(Table1[[#This Row],[OrderDate]],"mmm")</f>
        <v>Mar</v>
      </c>
    </row>
    <row r="414" spans="1:11">
      <c r="A414" s="6">
        <v>1413</v>
      </c>
      <c r="B414" s="6" t="s">
        <v>283</v>
      </c>
      <c r="C414" s="6" t="s">
        <v>71</v>
      </c>
      <c r="D414" s="6" t="s">
        <v>13</v>
      </c>
      <c r="E414" s="6" t="s">
        <v>50</v>
      </c>
      <c r="F414" s="6" t="s">
        <v>51</v>
      </c>
      <c r="G414" s="6">
        <v>4</v>
      </c>
      <c r="H414" s="6">
        <v>2000</v>
      </c>
      <c r="I414" s="6">
        <v>8000</v>
      </c>
      <c r="J414" s="6" t="s">
        <v>20</v>
      </c>
      <c r="K414" s="6" t="str">
        <f>TEXT(Table1[[#This Row],[OrderDate]],"mmm")</f>
        <v>Jan</v>
      </c>
    </row>
    <row r="415" spans="1:11">
      <c r="A415" s="6">
        <v>1414</v>
      </c>
      <c r="B415" s="6" t="s">
        <v>108</v>
      </c>
      <c r="C415" s="6" t="s">
        <v>54</v>
      </c>
      <c r="D415" s="6" t="s">
        <v>23</v>
      </c>
      <c r="E415" s="6" t="s">
        <v>33</v>
      </c>
      <c r="F415" s="6" t="s">
        <v>27</v>
      </c>
      <c r="G415" s="6">
        <v>3</v>
      </c>
      <c r="H415" s="6">
        <v>55000</v>
      </c>
      <c r="I415" s="6">
        <v>165000</v>
      </c>
      <c r="J415" s="6" t="s">
        <v>38</v>
      </c>
      <c r="K415" s="6" t="str">
        <f>TEXT(Table1[[#This Row],[OrderDate]],"mmm")</f>
        <v>Jan</v>
      </c>
    </row>
    <row r="416" spans="1:11">
      <c r="A416" s="6">
        <v>1415</v>
      </c>
      <c r="B416" s="6" t="s">
        <v>284</v>
      </c>
      <c r="C416" s="6" t="s">
        <v>32</v>
      </c>
      <c r="D416" s="6" t="s">
        <v>18</v>
      </c>
      <c r="E416" s="6" t="s">
        <v>50</v>
      </c>
      <c r="F416" s="6" t="s">
        <v>51</v>
      </c>
      <c r="G416" s="6">
        <v>5</v>
      </c>
      <c r="H416" s="6">
        <v>2000</v>
      </c>
      <c r="I416" s="6">
        <v>10000</v>
      </c>
      <c r="J416" s="6" t="s">
        <v>20</v>
      </c>
      <c r="K416" s="6" t="str">
        <f>TEXT(Table1[[#This Row],[OrderDate]],"mmm")</f>
        <v>Mar</v>
      </c>
    </row>
    <row r="417" spans="1:11">
      <c r="A417" s="6">
        <v>1416</v>
      </c>
      <c r="B417" s="6" t="s">
        <v>211</v>
      </c>
      <c r="C417" s="6" t="s">
        <v>42</v>
      </c>
      <c r="D417" s="6" t="s">
        <v>23</v>
      </c>
      <c r="E417" s="6" t="s">
        <v>43</v>
      </c>
      <c r="F417" s="6" t="s">
        <v>44</v>
      </c>
      <c r="G417" s="6">
        <v>2</v>
      </c>
      <c r="H417" s="6">
        <v>150</v>
      </c>
      <c r="I417" s="6">
        <v>300</v>
      </c>
      <c r="J417" s="6" t="s">
        <v>34</v>
      </c>
      <c r="K417" s="6" t="str">
        <f>TEXT(Table1[[#This Row],[OrderDate]],"mmm")</f>
        <v>Sep</v>
      </c>
    </row>
    <row r="418" spans="1:11">
      <c r="A418" s="6">
        <v>1417</v>
      </c>
      <c r="B418" s="6" t="s">
        <v>190</v>
      </c>
      <c r="C418" s="6" t="s">
        <v>12</v>
      </c>
      <c r="D418" s="6" t="s">
        <v>18</v>
      </c>
      <c r="E418" s="6" t="s">
        <v>14</v>
      </c>
      <c r="F418" s="6" t="s">
        <v>15</v>
      </c>
      <c r="G418" s="6">
        <v>4</v>
      </c>
      <c r="H418" s="6">
        <v>8000</v>
      </c>
      <c r="I418" s="6">
        <v>32000</v>
      </c>
      <c r="J418" s="6" t="s">
        <v>16</v>
      </c>
      <c r="K418" s="6" t="str">
        <f>TEXT(Table1[[#This Row],[OrderDate]],"mmm")</f>
        <v>Apr</v>
      </c>
    </row>
    <row r="419" spans="1:11">
      <c r="A419" s="6">
        <v>1418</v>
      </c>
      <c r="B419" s="6" t="s">
        <v>108</v>
      </c>
      <c r="C419" s="6" t="s">
        <v>42</v>
      </c>
      <c r="D419" s="6" t="s">
        <v>18</v>
      </c>
      <c r="E419" s="6" t="s">
        <v>26</v>
      </c>
      <c r="F419" s="6" t="s">
        <v>27</v>
      </c>
      <c r="G419" s="6">
        <v>1</v>
      </c>
      <c r="H419" s="6">
        <v>15000</v>
      </c>
      <c r="I419" s="6">
        <v>15000</v>
      </c>
      <c r="J419" s="6" t="s">
        <v>20</v>
      </c>
      <c r="K419" s="6" t="str">
        <f>TEXT(Table1[[#This Row],[OrderDate]],"mmm")</f>
        <v>Jan</v>
      </c>
    </row>
    <row r="420" spans="1:11">
      <c r="A420" s="6">
        <v>1419</v>
      </c>
      <c r="B420" s="6" t="s">
        <v>183</v>
      </c>
      <c r="C420" s="6" t="s">
        <v>42</v>
      </c>
      <c r="D420" s="6" t="s">
        <v>30</v>
      </c>
      <c r="E420" s="6" t="s">
        <v>57</v>
      </c>
      <c r="F420" s="6" t="s">
        <v>44</v>
      </c>
      <c r="G420" s="6">
        <v>4</v>
      </c>
      <c r="H420" s="6">
        <v>20</v>
      </c>
      <c r="I420" s="6">
        <v>80</v>
      </c>
      <c r="J420" s="6" t="s">
        <v>34</v>
      </c>
      <c r="K420" s="6" t="str">
        <f>TEXT(Table1[[#This Row],[OrderDate]],"mmm")</f>
        <v>Jun</v>
      </c>
    </row>
    <row r="421" spans="1:11">
      <c r="A421" s="6">
        <v>1420</v>
      </c>
      <c r="B421" s="6" t="s">
        <v>285</v>
      </c>
      <c r="C421" s="6" t="s">
        <v>29</v>
      </c>
      <c r="D421" s="6" t="s">
        <v>30</v>
      </c>
      <c r="E421" s="6" t="s">
        <v>40</v>
      </c>
      <c r="F421" s="6" t="s">
        <v>27</v>
      </c>
      <c r="G421" s="6">
        <v>1</v>
      </c>
      <c r="H421" s="6">
        <v>20000</v>
      </c>
      <c r="I421" s="6">
        <v>20000</v>
      </c>
      <c r="J421" s="6" t="s">
        <v>16</v>
      </c>
      <c r="K421" s="6" t="str">
        <f>TEXT(Table1[[#This Row],[OrderDate]],"mmm")</f>
        <v>Oct</v>
      </c>
    </row>
    <row r="422" spans="1:11">
      <c r="A422" s="6">
        <v>1421</v>
      </c>
      <c r="B422" s="6" t="s">
        <v>128</v>
      </c>
      <c r="C422" s="6" t="s">
        <v>54</v>
      </c>
      <c r="D422" s="6" t="s">
        <v>23</v>
      </c>
      <c r="E422" s="6" t="s">
        <v>33</v>
      </c>
      <c r="F422" s="6" t="s">
        <v>27</v>
      </c>
      <c r="G422" s="6">
        <v>3</v>
      </c>
      <c r="H422" s="6">
        <v>55000</v>
      </c>
      <c r="I422" s="6">
        <v>165000</v>
      </c>
      <c r="J422" s="6" t="s">
        <v>16</v>
      </c>
      <c r="K422" s="6" t="str">
        <f>TEXT(Table1[[#This Row],[OrderDate]],"mmm")</f>
        <v>Nov</v>
      </c>
    </row>
    <row r="423" spans="1:11">
      <c r="A423" s="6">
        <v>1422</v>
      </c>
      <c r="B423" s="6" t="s">
        <v>247</v>
      </c>
      <c r="C423" s="6" t="s">
        <v>60</v>
      </c>
      <c r="D423" s="6" t="s">
        <v>18</v>
      </c>
      <c r="E423" s="6" t="s">
        <v>19</v>
      </c>
      <c r="F423" s="6" t="s">
        <v>15</v>
      </c>
      <c r="G423" s="6">
        <v>3</v>
      </c>
      <c r="H423" s="6">
        <v>4500</v>
      </c>
      <c r="I423" s="6">
        <v>13500</v>
      </c>
      <c r="J423" s="6" t="s">
        <v>34</v>
      </c>
      <c r="K423" s="6" t="str">
        <f>TEXT(Table1[[#This Row],[OrderDate]],"mmm")</f>
        <v>Sep</v>
      </c>
    </row>
    <row r="424" spans="1:11">
      <c r="A424" s="6">
        <v>1423</v>
      </c>
      <c r="B424" s="6" t="s">
        <v>205</v>
      </c>
      <c r="C424" s="6" t="s">
        <v>71</v>
      </c>
      <c r="D424" s="6" t="s">
        <v>13</v>
      </c>
      <c r="E424" s="6" t="s">
        <v>33</v>
      </c>
      <c r="F424" s="6" t="s">
        <v>27</v>
      </c>
      <c r="G424" s="6">
        <v>1</v>
      </c>
      <c r="H424" s="6">
        <v>55000</v>
      </c>
      <c r="I424" s="6">
        <v>55000</v>
      </c>
      <c r="J424" s="6" t="s">
        <v>34</v>
      </c>
      <c r="K424" s="6" t="str">
        <f>TEXT(Table1[[#This Row],[OrderDate]],"mmm")</f>
        <v>Mar</v>
      </c>
    </row>
    <row r="425" spans="1:11">
      <c r="A425" s="6">
        <v>1424</v>
      </c>
      <c r="B425" s="6" t="s">
        <v>17</v>
      </c>
      <c r="C425" s="6" t="s">
        <v>22</v>
      </c>
      <c r="D425" s="6" t="s">
        <v>30</v>
      </c>
      <c r="E425" s="6" t="s">
        <v>50</v>
      </c>
      <c r="F425" s="6" t="s">
        <v>51</v>
      </c>
      <c r="G425" s="6">
        <v>4</v>
      </c>
      <c r="H425" s="6">
        <v>2000</v>
      </c>
      <c r="I425" s="6">
        <v>8000</v>
      </c>
      <c r="J425" s="6" t="s">
        <v>38</v>
      </c>
      <c r="K425" s="6" t="str">
        <f>TEXT(Table1[[#This Row],[OrderDate]],"mmm")</f>
        <v>Jul</v>
      </c>
    </row>
    <row r="426" spans="1:11">
      <c r="A426" s="6">
        <v>1425</v>
      </c>
      <c r="B426" s="6" t="s">
        <v>102</v>
      </c>
      <c r="C426" s="6" t="s">
        <v>22</v>
      </c>
      <c r="D426" s="6" t="s">
        <v>30</v>
      </c>
      <c r="E426" s="6" t="s">
        <v>14</v>
      </c>
      <c r="F426" s="6" t="s">
        <v>15</v>
      </c>
      <c r="G426" s="6">
        <v>5</v>
      </c>
      <c r="H426" s="6">
        <v>8000</v>
      </c>
      <c r="I426" s="6">
        <v>40000</v>
      </c>
      <c r="J426" s="6" t="s">
        <v>20</v>
      </c>
      <c r="K426" s="6" t="str">
        <f>TEXT(Table1[[#This Row],[OrderDate]],"mmm")</f>
        <v>Jan</v>
      </c>
    </row>
    <row r="427" spans="1:11">
      <c r="A427" s="6">
        <v>1426</v>
      </c>
      <c r="B427" s="6" t="s">
        <v>175</v>
      </c>
      <c r="C427" s="6" t="s">
        <v>47</v>
      </c>
      <c r="D427" s="6" t="s">
        <v>23</v>
      </c>
      <c r="E427" s="6" t="s">
        <v>40</v>
      </c>
      <c r="F427" s="6" t="s">
        <v>27</v>
      </c>
      <c r="G427" s="6">
        <v>3</v>
      </c>
      <c r="H427" s="6">
        <v>20000</v>
      </c>
      <c r="I427" s="6">
        <v>60000</v>
      </c>
      <c r="J427" s="6" t="s">
        <v>20</v>
      </c>
      <c r="K427" s="6" t="str">
        <f>TEXT(Table1[[#This Row],[OrderDate]],"mmm")</f>
        <v>Feb</v>
      </c>
    </row>
    <row r="428" spans="1:11">
      <c r="A428" s="6">
        <v>1427</v>
      </c>
      <c r="B428" s="6" t="s">
        <v>227</v>
      </c>
      <c r="C428" s="6" t="s">
        <v>22</v>
      </c>
      <c r="D428" s="6" t="s">
        <v>18</v>
      </c>
      <c r="E428" s="6" t="s">
        <v>33</v>
      </c>
      <c r="F428" s="6" t="s">
        <v>27</v>
      </c>
      <c r="G428" s="6">
        <v>3</v>
      </c>
      <c r="H428" s="6">
        <v>55000</v>
      </c>
      <c r="I428" s="6">
        <v>165000</v>
      </c>
      <c r="J428" s="6" t="s">
        <v>38</v>
      </c>
      <c r="K428" s="6" t="str">
        <f>TEXT(Table1[[#This Row],[OrderDate]],"mmm")</f>
        <v>Nov</v>
      </c>
    </row>
    <row r="429" spans="1:11">
      <c r="A429" s="6">
        <v>1428</v>
      </c>
      <c r="B429" s="6" t="s">
        <v>286</v>
      </c>
      <c r="C429" s="6" t="s">
        <v>25</v>
      </c>
      <c r="D429" s="6" t="s">
        <v>13</v>
      </c>
      <c r="E429" s="6" t="s">
        <v>26</v>
      </c>
      <c r="F429" s="6" t="s">
        <v>27</v>
      </c>
      <c r="G429" s="6">
        <v>2</v>
      </c>
      <c r="H429" s="6">
        <v>15000</v>
      </c>
      <c r="I429" s="6">
        <v>30000</v>
      </c>
      <c r="J429" s="6" t="s">
        <v>34</v>
      </c>
      <c r="K429" s="6" t="str">
        <f>TEXT(Table1[[#This Row],[OrderDate]],"mmm")</f>
        <v>Dec</v>
      </c>
    </row>
    <row r="430" spans="1:11">
      <c r="A430" s="6">
        <v>1429</v>
      </c>
      <c r="B430" s="6" t="s">
        <v>56</v>
      </c>
      <c r="C430" s="6" t="s">
        <v>25</v>
      </c>
      <c r="D430" s="6" t="s">
        <v>18</v>
      </c>
      <c r="E430" s="6" t="s">
        <v>57</v>
      </c>
      <c r="F430" s="6" t="s">
        <v>44</v>
      </c>
      <c r="G430" s="6">
        <v>5</v>
      </c>
      <c r="H430" s="6">
        <v>20</v>
      </c>
      <c r="I430" s="6">
        <v>100</v>
      </c>
      <c r="J430" s="6" t="s">
        <v>38</v>
      </c>
      <c r="K430" s="6" t="str">
        <f>TEXT(Table1[[#This Row],[OrderDate]],"mmm")</f>
        <v>Oct</v>
      </c>
    </row>
    <row r="431" spans="1:11">
      <c r="A431" s="6">
        <v>1430</v>
      </c>
      <c r="B431" s="6" t="s">
        <v>248</v>
      </c>
      <c r="C431" s="6" t="s">
        <v>29</v>
      </c>
      <c r="D431" s="6" t="s">
        <v>30</v>
      </c>
      <c r="E431" s="6" t="s">
        <v>26</v>
      </c>
      <c r="F431" s="6" t="s">
        <v>27</v>
      </c>
      <c r="G431" s="6">
        <v>4</v>
      </c>
      <c r="H431" s="6">
        <v>15000</v>
      </c>
      <c r="I431" s="6">
        <v>60000</v>
      </c>
      <c r="J431" s="6" t="s">
        <v>34</v>
      </c>
      <c r="K431" s="6" t="str">
        <f>TEXT(Table1[[#This Row],[OrderDate]],"mmm")</f>
        <v>Oct</v>
      </c>
    </row>
    <row r="432" spans="1:11">
      <c r="A432" s="6">
        <v>1431</v>
      </c>
      <c r="B432" s="6" t="s">
        <v>287</v>
      </c>
      <c r="C432" s="6" t="s">
        <v>54</v>
      </c>
      <c r="D432" s="6" t="s">
        <v>30</v>
      </c>
      <c r="E432" s="6" t="s">
        <v>57</v>
      </c>
      <c r="F432" s="6" t="s">
        <v>44</v>
      </c>
      <c r="G432" s="6">
        <v>1</v>
      </c>
      <c r="H432" s="6">
        <v>20</v>
      </c>
      <c r="I432" s="6">
        <v>20</v>
      </c>
      <c r="J432" s="6" t="s">
        <v>34</v>
      </c>
      <c r="K432" s="6" t="str">
        <f>TEXT(Table1[[#This Row],[OrderDate]],"mmm")</f>
        <v>Nov</v>
      </c>
    </row>
    <row r="433" spans="1:11">
      <c r="A433" s="6">
        <v>1432</v>
      </c>
      <c r="B433" s="6" t="s">
        <v>72</v>
      </c>
      <c r="C433" s="6" t="s">
        <v>29</v>
      </c>
      <c r="D433" s="6" t="s">
        <v>30</v>
      </c>
      <c r="E433" s="6" t="s">
        <v>14</v>
      </c>
      <c r="F433" s="6" t="s">
        <v>15</v>
      </c>
      <c r="G433" s="6">
        <v>5</v>
      </c>
      <c r="H433" s="6">
        <v>8000</v>
      </c>
      <c r="I433" s="6">
        <v>40000</v>
      </c>
      <c r="J433" s="6" t="s">
        <v>34</v>
      </c>
      <c r="K433" s="6" t="str">
        <f>TEXT(Table1[[#This Row],[OrderDate]],"mmm")</f>
        <v>Aug</v>
      </c>
    </row>
    <row r="434" spans="1:11">
      <c r="A434" s="6">
        <v>1433</v>
      </c>
      <c r="B434" s="6" t="s">
        <v>288</v>
      </c>
      <c r="C434" s="6" t="s">
        <v>29</v>
      </c>
      <c r="D434" s="6" t="s">
        <v>23</v>
      </c>
      <c r="E434" s="6" t="s">
        <v>43</v>
      </c>
      <c r="F434" s="6" t="s">
        <v>44</v>
      </c>
      <c r="G434" s="6">
        <v>3</v>
      </c>
      <c r="H434" s="6">
        <v>150</v>
      </c>
      <c r="I434" s="6">
        <v>450</v>
      </c>
      <c r="J434" s="6" t="s">
        <v>20</v>
      </c>
      <c r="K434" s="6" t="str">
        <f>TEXT(Table1[[#This Row],[OrderDate]],"mmm")</f>
        <v>Jun</v>
      </c>
    </row>
    <row r="435" spans="1:11">
      <c r="A435" s="6">
        <v>1434</v>
      </c>
      <c r="B435" s="6" t="s">
        <v>289</v>
      </c>
      <c r="C435" s="6" t="s">
        <v>25</v>
      </c>
      <c r="D435" s="6" t="s">
        <v>23</v>
      </c>
      <c r="E435" s="6" t="s">
        <v>57</v>
      </c>
      <c r="F435" s="6" t="s">
        <v>44</v>
      </c>
      <c r="G435" s="6">
        <v>5</v>
      </c>
      <c r="H435" s="6">
        <v>20</v>
      </c>
      <c r="I435" s="6">
        <v>100</v>
      </c>
      <c r="J435" s="6" t="s">
        <v>34</v>
      </c>
      <c r="K435" s="6" t="str">
        <f>TEXT(Table1[[#This Row],[OrderDate]],"mmm")</f>
        <v>Apr</v>
      </c>
    </row>
    <row r="436" spans="1:11">
      <c r="A436" s="6">
        <v>1435</v>
      </c>
      <c r="B436" s="6" t="s">
        <v>197</v>
      </c>
      <c r="C436" s="6" t="s">
        <v>71</v>
      </c>
      <c r="D436" s="6" t="s">
        <v>18</v>
      </c>
      <c r="E436" s="6" t="s">
        <v>14</v>
      </c>
      <c r="F436" s="6" t="s">
        <v>15</v>
      </c>
      <c r="G436" s="6">
        <v>2</v>
      </c>
      <c r="H436" s="6">
        <v>8000</v>
      </c>
      <c r="I436" s="6">
        <v>16000</v>
      </c>
      <c r="J436" s="6" t="s">
        <v>20</v>
      </c>
      <c r="K436" s="6" t="str">
        <f>TEXT(Table1[[#This Row],[OrderDate]],"mmm")</f>
        <v>Dec</v>
      </c>
    </row>
    <row r="437" spans="1:11">
      <c r="A437" s="6">
        <v>1436</v>
      </c>
      <c r="B437" s="6" t="s">
        <v>290</v>
      </c>
      <c r="C437" s="6" t="s">
        <v>32</v>
      </c>
      <c r="D437" s="6" t="s">
        <v>13</v>
      </c>
      <c r="E437" s="6" t="s">
        <v>40</v>
      </c>
      <c r="F437" s="6" t="s">
        <v>27</v>
      </c>
      <c r="G437" s="6">
        <v>2</v>
      </c>
      <c r="H437" s="6">
        <v>20000</v>
      </c>
      <c r="I437" s="6">
        <v>40000</v>
      </c>
      <c r="J437" s="6" t="s">
        <v>38</v>
      </c>
      <c r="K437" s="6" t="str">
        <f>TEXT(Table1[[#This Row],[OrderDate]],"mmm")</f>
        <v>Aug</v>
      </c>
    </row>
    <row r="438" spans="1:11">
      <c r="A438" s="6">
        <v>1437</v>
      </c>
      <c r="B438" s="6" t="s">
        <v>116</v>
      </c>
      <c r="C438" s="6" t="s">
        <v>29</v>
      </c>
      <c r="D438" s="6" t="s">
        <v>18</v>
      </c>
      <c r="E438" s="6" t="s">
        <v>33</v>
      </c>
      <c r="F438" s="6" t="s">
        <v>27</v>
      </c>
      <c r="G438" s="6">
        <v>5</v>
      </c>
      <c r="H438" s="6">
        <v>55000</v>
      </c>
      <c r="I438" s="6">
        <v>275000</v>
      </c>
      <c r="J438" s="6" t="s">
        <v>34</v>
      </c>
      <c r="K438" s="6" t="str">
        <f>TEXT(Table1[[#This Row],[OrderDate]],"mmm")</f>
        <v>Feb</v>
      </c>
    </row>
    <row r="439" spans="1:11">
      <c r="A439" s="6">
        <v>1438</v>
      </c>
      <c r="B439" s="6" t="s">
        <v>127</v>
      </c>
      <c r="C439" s="6" t="s">
        <v>22</v>
      </c>
      <c r="D439" s="6" t="s">
        <v>23</v>
      </c>
      <c r="E439" s="6" t="s">
        <v>57</v>
      </c>
      <c r="F439" s="6" t="s">
        <v>44</v>
      </c>
      <c r="G439" s="6">
        <v>4</v>
      </c>
      <c r="H439" s="6">
        <v>20</v>
      </c>
      <c r="I439" s="6">
        <v>80</v>
      </c>
      <c r="J439" s="6" t="s">
        <v>16</v>
      </c>
      <c r="K439" s="6" t="str">
        <f>TEXT(Table1[[#This Row],[OrderDate]],"mmm")</f>
        <v>Mar</v>
      </c>
    </row>
    <row r="440" spans="1:11">
      <c r="A440" s="6">
        <v>1439</v>
      </c>
      <c r="B440" s="6" t="s">
        <v>222</v>
      </c>
      <c r="C440" s="6" t="s">
        <v>47</v>
      </c>
      <c r="D440" s="6" t="s">
        <v>30</v>
      </c>
      <c r="E440" s="6" t="s">
        <v>19</v>
      </c>
      <c r="F440" s="6" t="s">
        <v>15</v>
      </c>
      <c r="G440" s="6">
        <v>2</v>
      </c>
      <c r="H440" s="6">
        <v>4500</v>
      </c>
      <c r="I440" s="6">
        <v>9000</v>
      </c>
      <c r="J440" s="6" t="s">
        <v>38</v>
      </c>
      <c r="K440" s="6" t="str">
        <f>TEXT(Table1[[#This Row],[OrderDate]],"mmm")</f>
        <v>Dec</v>
      </c>
    </row>
    <row r="441" spans="1:11">
      <c r="A441" s="6">
        <v>1440</v>
      </c>
      <c r="B441" s="6" t="s">
        <v>174</v>
      </c>
      <c r="C441" s="6" t="s">
        <v>54</v>
      </c>
      <c r="D441" s="6" t="s">
        <v>23</v>
      </c>
      <c r="E441" s="6" t="s">
        <v>57</v>
      </c>
      <c r="F441" s="6" t="s">
        <v>44</v>
      </c>
      <c r="G441" s="6">
        <v>1</v>
      </c>
      <c r="H441" s="6">
        <v>20</v>
      </c>
      <c r="I441" s="6">
        <v>20</v>
      </c>
      <c r="J441" s="6" t="s">
        <v>16</v>
      </c>
      <c r="K441" s="6" t="str">
        <f>TEXT(Table1[[#This Row],[OrderDate]],"mmm")</f>
        <v>Dec</v>
      </c>
    </row>
    <row r="442" spans="1:11">
      <c r="A442" s="6">
        <v>1441</v>
      </c>
      <c r="B442" s="6" t="s">
        <v>291</v>
      </c>
      <c r="C442" s="6" t="s">
        <v>42</v>
      </c>
      <c r="D442" s="6" t="s">
        <v>30</v>
      </c>
      <c r="E442" s="6" t="s">
        <v>57</v>
      </c>
      <c r="F442" s="6" t="s">
        <v>44</v>
      </c>
      <c r="G442" s="6">
        <v>3</v>
      </c>
      <c r="H442" s="6">
        <v>20</v>
      </c>
      <c r="I442" s="6">
        <v>60</v>
      </c>
      <c r="J442" s="6" t="s">
        <v>16</v>
      </c>
      <c r="K442" s="6" t="str">
        <f>TEXT(Table1[[#This Row],[OrderDate]],"mmm")</f>
        <v>Aug</v>
      </c>
    </row>
    <row r="443" spans="1:11">
      <c r="A443" s="6">
        <v>1442</v>
      </c>
      <c r="B443" s="6" t="s">
        <v>292</v>
      </c>
      <c r="C443" s="6" t="s">
        <v>32</v>
      </c>
      <c r="D443" s="6" t="s">
        <v>30</v>
      </c>
      <c r="E443" s="6" t="s">
        <v>40</v>
      </c>
      <c r="F443" s="6" t="s">
        <v>27</v>
      </c>
      <c r="G443" s="6">
        <v>3</v>
      </c>
      <c r="H443" s="6">
        <v>20000</v>
      </c>
      <c r="I443" s="6">
        <v>60000</v>
      </c>
      <c r="J443" s="6" t="s">
        <v>20</v>
      </c>
      <c r="K443" s="6" t="str">
        <f>TEXT(Table1[[#This Row],[OrderDate]],"mmm")</f>
        <v>May</v>
      </c>
    </row>
    <row r="444" spans="1:11">
      <c r="A444" s="6">
        <v>1443</v>
      </c>
      <c r="B444" s="6" t="s">
        <v>177</v>
      </c>
      <c r="C444" s="6" t="s">
        <v>29</v>
      </c>
      <c r="D444" s="6" t="s">
        <v>13</v>
      </c>
      <c r="E444" s="6" t="s">
        <v>26</v>
      </c>
      <c r="F444" s="6" t="s">
        <v>27</v>
      </c>
      <c r="G444" s="6">
        <v>4</v>
      </c>
      <c r="H444" s="6">
        <v>15000</v>
      </c>
      <c r="I444" s="6">
        <v>60000</v>
      </c>
      <c r="J444" s="6" t="s">
        <v>20</v>
      </c>
      <c r="K444" s="6" t="str">
        <f>TEXT(Table1[[#This Row],[OrderDate]],"mmm")</f>
        <v>Apr</v>
      </c>
    </row>
    <row r="445" spans="1:11">
      <c r="A445" s="6">
        <v>1444</v>
      </c>
      <c r="B445" s="6" t="s">
        <v>293</v>
      </c>
      <c r="C445" s="6" t="s">
        <v>12</v>
      </c>
      <c r="D445" s="6" t="s">
        <v>13</v>
      </c>
      <c r="E445" s="6" t="s">
        <v>50</v>
      </c>
      <c r="F445" s="6" t="s">
        <v>51</v>
      </c>
      <c r="G445" s="6">
        <v>5</v>
      </c>
      <c r="H445" s="6">
        <v>2000</v>
      </c>
      <c r="I445" s="6">
        <v>10000</v>
      </c>
      <c r="J445" s="6" t="s">
        <v>16</v>
      </c>
      <c r="K445" s="6" t="str">
        <f>TEXT(Table1[[#This Row],[OrderDate]],"mmm")</f>
        <v>May</v>
      </c>
    </row>
    <row r="446" spans="1:11">
      <c r="A446" s="6">
        <v>1445</v>
      </c>
      <c r="B446" s="6" t="s">
        <v>294</v>
      </c>
      <c r="C446" s="6" t="s">
        <v>47</v>
      </c>
      <c r="D446" s="6" t="s">
        <v>23</v>
      </c>
      <c r="E446" s="6" t="s">
        <v>50</v>
      </c>
      <c r="F446" s="6" t="s">
        <v>51</v>
      </c>
      <c r="G446" s="6">
        <v>5</v>
      </c>
      <c r="H446" s="6">
        <v>2000</v>
      </c>
      <c r="I446" s="6">
        <v>10000</v>
      </c>
      <c r="J446" s="6" t="s">
        <v>16</v>
      </c>
      <c r="K446" s="6" t="str">
        <f>TEXT(Table1[[#This Row],[OrderDate]],"mmm")</f>
        <v>Apr</v>
      </c>
    </row>
    <row r="447" spans="1:11">
      <c r="A447" s="6">
        <v>1446</v>
      </c>
      <c r="B447" s="6" t="s">
        <v>155</v>
      </c>
      <c r="C447" s="6" t="s">
        <v>54</v>
      </c>
      <c r="D447" s="6" t="s">
        <v>18</v>
      </c>
      <c r="E447" s="6" t="s">
        <v>33</v>
      </c>
      <c r="F447" s="6" t="s">
        <v>27</v>
      </c>
      <c r="G447" s="6">
        <v>4</v>
      </c>
      <c r="H447" s="6">
        <v>55000</v>
      </c>
      <c r="I447" s="6">
        <v>220000</v>
      </c>
      <c r="J447" s="6" t="s">
        <v>34</v>
      </c>
      <c r="K447" s="6" t="str">
        <f>TEXT(Table1[[#This Row],[OrderDate]],"mmm")</f>
        <v>Jul</v>
      </c>
    </row>
    <row r="448" spans="1:11">
      <c r="A448" s="6">
        <v>1447</v>
      </c>
      <c r="B448" s="6" t="s">
        <v>11</v>
      </c>
      <c r="C448" s="6" t="s">
        <v>12</v>
      </c>
      <c r="D448" s="6" t="s">
        <v>18</v>
      </c>
      <c r="E448" s="6" t="s">
        <v>14</v>
      </c>
      <c r="F448" s="6" t="s">
        <v>15</v>
      </c>
      <c r="G448" s="6">
        <v>1</v>
      </c>
      <c r="H448" s="6">
        <v>8000</v>
      </c>
      <c r="I448" s="6">
        <v>8000</v>
      </c>
      <c r="J448" s="6" t="s">
        <v>16</v>
      </c>
      <c r="K448" s="6" t="str">
        <f>TEXT(Table1[[#This Row],[OrderDate]],"mmm")</f>
        <v>Jan</v>
      </c>
    </row>
    <row r="449" spans="1:11">
      <c r="A449" s="6">
        <v>1448</v>
      </c>
      <c r="B449" s="6" t="s">
        <v>201</v>
      </c>
      <c r="C449" s="6" t="s">
        <v>29</v>
      </c>
      <c r="D449" s="6" t="s">
        <v>18</v>
      </c>
      <c r="E449" s="6" t="s">
        <v>57</v>
      </c>
      <c r="F449" s="6" t="s">
        <v>44</v>
      </c>
      <c r="G449" s="6">
        <v>2</v>
      </c>
      <c r="H449" s="6">
        <v>20</v>
      </c>
      <c r="I449" s="6">
        <v>40</v>
      </c>
      <c r="J449" s="6" t="s">
        <v>38</v>
      </c>
      <c r="K449" s="6" t="str">
        <f>TEXT(Table1[[#This Row],[OrderDate]],"mmm")</f>
        <v>May</v>
      </c>
    </row>
    <row r="450" spans="1:11">
      <c r="A450" s="6">
        <v>1449</v>
      </c>
      <c r="B450" s="6" t="s">
        <v>295</v>
      </c>
      <c r="C450" s="6" t="s">
        <v>22</v>
      </c>
      <c r="D450" s="6" t="s">
        <v>13</v>
      </c>
      <c r="E450" s="6" t="s">
        <v>14</v>
      </c>
      <c r="F450" s="6" t="s">
        <v>15</v>
      </c>
      <c r="G450" s="6">
        <v>5</v>
      </c>
      <c r="H450" s="6">
        <v>8000</v>
      </c>
      <c r="I450" s="6">
        <v>40000</v>
      </c>
      <c r="J450" s="6" t="s">
        <v>34</v>
      </c>
      <c r="K450" s="6" t="str">
        <f>TEXT(Table1[[#This Row],[OrderDate]],"mmm")</f>
        <v>Jun</v>
      </c>
    </row>
    <row r="451" spans="1:11">
      <c r="A451" s="6">
        <v>1450</v>
      </c>
      <c r="B451" s="6" t="s">
        <v>72</v>
      </c>
      <c r="C451" s="6" t="s">
        <v>25</v>
      </c>
      <c r="D451" s="6" t="s">
        <v>23</v>
      </c>
      <c r="E451" s="6" t="s">
        <v>50</v>
      </c>
      <c r="F451" s="6" t="s">
        <v>51</v>
      </c>
      <c r="G451" s="6">
        <v>3</v>
      </c>
      <c r="H451" s="6">
        <v>2000</v>
      </c>
      <c r="I451" s="6">
        <v>6000</v>
      </c>
      <c r="J451" s="6" t="s">
        <v>34</v>
      </c>
      <c r="K451" s="6" t="str">
        <f>TEXT(Table1[[#This Row],[OrderDate]],"mmm")</f>
        <v>Aug</v>
      </c>
    </row>
    <row r="452" spans="1:11">
      <c r="A452" s="6">
        <v>1451</v>
      </c>
      <c r="B452" s="6" t="s">
        <v>24</v>
      </c>
      <c r="C452" s="6" t="s">
        <v>32</v>
      </c>
      <c r="D452" s="6" t="s">
        <v>30</v>
      </c>
      <c r="E452" s="6" t="s">
        <v>19</v>
      </c>
      <c r="F452" s="6" t="s">
        <v>15</v>
      </c>
      <c r="G452" s="6">
        <v>4</v>
      </c>
      <c r="H452" s="6">
        <v>4500</v>
      </c>
      <c r="I452" s="6">
        <v>18000</v>
      </c>
      <c r="J452" s="6" t="s">
        <v>38</v>
      </c>
      <c r="K452" s="6" t="str">
        <f>TEXT(Table1[[#This Row],[OrderDate]],"mmm")</f>
        <v>Apr</v>
      </c>
    </row>
    <row r="453" spans="1:11">
      <c r="A453" s="6">
        <v>1452</v>
      </c>
      <c r="B453" s="6" t="s">
        <v>296</v>
      </c>
      <c r="C453" s="6" t="s">
        <v>12</v>
      </c>
      <c r="D453" s="6" t="s">
        <v>23</v>
      </c>
      <c r="E453" s="6" t="s">
        <v>57</v>
      </c>
      <c r="F453" s="6" t="s">
        <v>44</v>
      </c>
      <c r="G453" s="6">
        <v>1</v>
      </c>
      <c r="H453" s="6">
        <v>20</v>
      </c>
      <c r="I453" s="6">
        <v>20</v>
      </c>
      <c r="J453" s="6" t="s">
        <v>34</v>
      </c>
      <c r="K453" s="6" t="str">
        <f>TEXT(Table1[[#This Row],[OrderDate]],"mmm")</f>
        <v>Nov</v>
      </c>
    </row>
    <row r="454" spans="1:11">
      <c r="A454" s="6">
        <v>1453</v>
      </c>
      <c r="B454" s="6" t="s">
        <v>125</v>
      </c>
      <c r="C454" s="6" t="s">
        <v>54</v>
      </c>
      <c r="D454" s="6" t="s">
        <v>30</v>
      </c>
      <c r="E454" s="6" t="s">
        <v>14</v>
      </c>
      <c r="F454" s="6" t="s">
        <v>15</v>
      </c>
      <c r="G454" s="6">
        <v>4</v>
      </c>
      <c r="H454" s="6">
        <v>8000</v>
      </c>
      <c r="I454" s="6">
        <v>32000</v>
      </c>
      <c r="J454" s="6" t="s">
        <v>38</v>
      </c>
      <c r="K454" s="6" t="str">
        <f>TEXT(Table1[[#This Row],[OrderDate]],"mmm")</f>
        <v>Jul</v>
      </c>
    </row>
    <row r="455" spans="1:11">
      <c r="A455" s="6">
        <v>1454</v>
      </c>
      <c r="B455" s="6" t="s">
        <v>64</v>
      </c>
      <c r="C455" s="6" t="s">
        <v>47</v>
      </c>
      <c r="D455" s="6" t="s">
        <v>18</v>
      </c>
      <c r="E455" s="6" t="s">
        <v>33</v>
      </c>
      <c r="F455" s="6" t="s">
        <v>27</v>
      </c>
      <c r="G455" s="6">
        <v>3</v>
      </c>
      <c r="H455" s="6">
        <v>55000</v>
      </c>
      <c r="I455" s="6">
        <v>165000</v>
      </c>
      <c r="J455" s="6" t="s">
        <v>38</v>
      </c>
      <c r="K455" s="6" t="str">
        <f>TEXT(Table1[[#This Row],[OrderDate]],"mmm")</f>
        <v>Feb</v>
      </c>
    </row>
    <row r="456" spans="1:11">
      <c r="A456" s="6">
        <v>1455</v>
      </c>
      <c r="B456" s="6" t="s">
        <v>17</v>
      </c>
      <c r="C456" s="6" t="s">
        <v>71</v>
      </c>
      <c r="D456" s="6" t="s">
        <v>23</v>
      </c>
      <c r="E456" s="6" t="s">
        <v>14</v>
      </c>
      <c r="F456" s="6" t="s">
        <v>15</v>
      </c>
      <c r="G456" s="6">
        <v>3</v>
      </c>
      <c r="H456" s="6">
        <v>8000</v>
      </c>
      <c r="I456" s="6">
        <v>24000</v>
      </c>
      <c r="J456" s="6" t="s">
        <v>34</v>
      </c>
      <c r="K456" s="6" t="str">
        <f>TEXT(Table1[[#This Row],[OrderDate]],"mmm")</f>
        <v>Jul</v>
      </c>
    </row>
    <row r="457" spans="1:11">
      <c r="A457" s="6">
        <v>1456</v>
      </c>
      <c r="B457" s="6" t="s">
        <v>235</v>
      </c>
      <c r="C457" s="6" t="s">
        <v>71</v>
      </c>
      <c r="D457" s="6" t="s">
        <v>30</v>
      </c>
      <c r="E457" s="6" t="s">
        <v>33</v>
      </c>
      <c r="F457" s="6" t="s">
        <v>27</v>
      </c>
      <c r="G457" s="6">
        <v>4</v>
      </c>
      <c r="H457" s="6">
        <v>55000</v>
      </c>
      <c r="I457" s="6">
        <v>220000</v>
      </c>
      <c r="J457" s="6" t="s">
        <v>38</v>
      </c>
      <c r="K457" s="6" t="str">
        <f>TEXT(Table1[[#This Row],[OrderDate]],"mmm")</f>
        <v>Jan</v>
      </c>
    </row>
    <row r="458" spans="1:11">
      <c r="A458" s="6">
        <v>1457</v>
      </c>
      <c r="B458" s="6" t="s">
        <v>136</v>
      </c>
      <c r="C458" s="6" t="s">
        <v>22</v>
      </c>
      <c r="D458" s="6" t="s">
        <v>13</v>
      </c>
      <c r="E458" s="6" t="s">
        <v>50</v>
      </c>
      <c r="F458" s="6" t="s">
        <v>51</v>
      </c>
      <c r="G458" s="6">
        <v>3</v>
      </c>
      <c r="H458" s="6">
        <v>2000</v>
      </c>
      <c r="I458" s="6">
        <v>6000</v>
      </c>
      <c r="J458" s="6" t="s">
        <v>20</v>
      </c>
      <c r="K458" s="6" t="str">
        <f>TEXT(Table1[[#This Row],[OrderDate]],"mmm")</f>
        <v>Oct</v>
      </c>
    </row>
    <row r="459" spans="1:11">
      <c r="A459" s="6">
        <v>1458</v>
      </c>
      <c r="B459" s="6" t="s">
        <v>297</v>
      </c>
      <c r="C459" s="6" t="s">
        <v>32</v>
      </c>
      <c r="D459" s="6" t="s">
        <v>13</v>
      </c>
      <c r="E459" s="6" t="s">
        <v>43</v>
      </c>
      <c r="F459" s="6" t="s">
        <v>44</v>
      </c>
      <c r="G459" s="6">
        <v>4</v>
      </c>
      <c r="H459" s="6">
        <v>150</v>
      </c>
      <c r="I459" s="6">
        <v>600</v>
      </c>
      <c r="J459" s="6" t="s">
        <v>34</v>
      </c>
      <c r="K459" s="6" t="str">
        <f>TEXT(Table1[[#This Row],[OrderDate]],"mmm")</f>
        <v>Sep</v>
      </c>
    </row>
    <row r="460" spans="1:11">
      <c r="A460" s="6">
        <v>1459</v>
      </c>
      <c r="B460" s="6" t="s">
        <v>255</v>
      </c>
      <c r="C460" s="6" t="s">
        <v>12</v>
      </c>
      <c r="D460" s="6" t="s">
        <v>18</v>
      </c>
      <c r="E460" s="6" t="s">
        <v>43</v>
      </c>
      <c r="F460" s="6" t="s">
        <v>44</v>
      </c>
      <c r="G460" s="6">
        <v>3</v>
      </c>
      <c r="H460" s="6">
        <v>150</v>
      </c>
      <c r="I460" s="6">
        <v>450</v>
      </c>
      <c r="J460" s="6" t="s">
        <v>20</v>
      </c>
      <c r="K460" s="6" t="str">
        <f>TEXT(Table1[[#This Row],[OrderDate]],"mmm")</f>
        <v>Apr</v>
      </c>
    </row>
    <row r="461" spans="1:11">
      <c r="A461" s="6">
        <v>1460</v>
      </c>
      <c r="B461" s="6" t="s">
        <v>298</v>
      </c>
      <c r="C461" s="6" t="s">
        <v>60</v>
      </c>
      <c r="D461" s="6" t="s">
        <v>13</v>
      </c>
      <c r="E461" s="6" t="s">
        <v>57</v>
      </c>
      <c r="F461" s="6" t="s">
        <v>44</v>
      </c>
      <c r="G461" s="6">
        <v>2</v>
      </c>
      <c r="H461" s="6">
        <v>20</v>
      </c>
      <c r="I461" s="6">
        <v>40</v>
      </c>
      <c r="J461" s="6" t="s">
        <v>20</v>
      </c>
      <c r="K461" s="6" t="str">
        <f>TEXT(Table1[[#This Row],[OrderDate]],"mmm")</f>
        <v>Mar</v>
      </c>
    </row>
    <row r="462" spans="1:11">
      <c r="A462" s="6">
        <v>1461</v>
      </c>
      <c r="B462" s="6" t="s">
        <v>271</v>
      </c>
      <c r="C462" s="6" t="s">
        <v>29</v>
      </c>
      <c r="D462" s="6" t="s">
        <v>13</v>
      </c>
      <c r="E462" s="6" t="s">
        <v>26</v>
      </c>
      <c r="F462" s="6" t="s">
        <v>27</v>
      </c>
      <c r="G462" s="6">
        <v>1</v>
      </c>
      <c r="H462" s="6">
        <v>15000</v>
      </c>
      <c r="I462" s="6">
        <v>15000</v>
      </c>
      <c r="J462" s="6" t="s">
        <v>20</v>
      </c>
      <c r="K462" s="6" t="str">
        <f>TEXT(Table1[[#This Row],[OrderDate]],"mmm")</f>
        <v>Oct</v>
      </c>
    </row>
    <row r="463" spans="1:11">
      <c r="A463" s="6">
        <v>1462</v>
      </c>
      <c r="B463" s="6" t="s">
        <v>299</v>
      </c>
      <c r="C463" s="6" t="s">
        <v>22</v>
      </c>
      <c r="D463" s="6" t="s">
        <v>23</v>
      </c>
      <c r="E463" s="6" t="s">
        <v>40</v>
      </c>
      <c r="F463" s="6" t="s">
        <v>27</v>
      </c>
      <c r="G463" s="6">
        <v>5</v>
      </c>
      <c r="H463" s="6">
        <v>20000</v>
      </c>
      <c r="I463" s="6">
        <v>100000</v>
      </c>
      <c r="J463" s="6" t="s">
        <v>20</v>
      </c>
      <c r="K463" s="6" t="str">
        <f>TEXT(Table1[[#This Row],[OrderDate]],"mmm")</f>
        <v>Dec</v>
      </c>
    </row>
    <row r="464" spans="1:11">
      <c r="A464" s="6">
        <v>1463</v>
      </c>
      <c r="B464" s="6" t="s">
        <v>232</v>
      </c>
      <c r="C464" s="6" t="s">
        <v>47</v>
      </c>
      <c r="D464" s="6" t="s">
        <v>13</v>
      </c>
      <c r="E464" s="6" t="s">
        <v>14</v>
      </c>
      <c r="F464" s="6" t="s">
        <v>15</v>
      </c>
      <c r="G464" s="6">
        <v>5</v>
      </c>
      <c r="H464" s="6">
        <v>8000</v>
      </c>
      <c r="I464" s="6">
        <v>40000</v>
      </c>
      <c r="J464" s="6" t="s">
        <v>38</v>
      </c>
      <c r="K464" s="6" t="str">
        <f>TEXT(Table1[[#This Row],[OrderDate]],"mmm")</f>
        <v>Oct</v>
      </c>
    </row>
    <row r="465" spans="1:11">
      <c r="A465" s="6">
        <v>1464</v>
      </c>
      <c r="B465" s="6" t="s">
        <v>151</v>
      </c>
      <c r="C465" s="6" t="s">
        <v>25</v>
      </c>
      <c r="D465" s="6" t="s">
        <v>30</v>
      </c>
      <c r="E465" s="6" t="s">
        <v>26</v>
      </c>
      <c r="F465" s="6" t="s">
        <v>27</v>
      </c>
      <c r="G465" s="6">
        <v>2</v>
      </c>
      <c r="H465" s="6">
        <v>15000</v>
      </c>
      <c r="I465" s="6">
        <v>30000</v>
      </c>
      <c r="J465" s="6" t="s">
        <v>38</v>
      </c>
      <c r="K465" s="6" t="str">
        <f>TEXT(Table1[[#This Row],[OrderDate]],"mmm")</f>
        <v>Mar</v>
      </c>
    </row>
    <row r="466" spans="1:11">
      <c r="A466" s="6">
        <v>1465</v>
      </c>
      <c r="B466" s="6" t="s">
        <v>164</v>
      </c>
      <c r="C466" s="6" t="s">
        <v>42</v>
      </c>
      <c r="D466" s="6" t="s">
        <v>13</v>
      </c>
      <c r="E466" s="6" t="s">
        <v>43</v>
      </c>
      <c r="F466" s="6" t="s">
        <v>44</v>
      </c>
      <c r="G466" s="6">
        <v>3</v>
      </c>
      <c r="H466" s="6">
        <v>150</v>
      </c>
      <c r="I466" s="6">
        <v>450</v>
      </c>
      <c r="J466" s="6" t="s">
        <v>16</v>
      </c>
      <c r="K466" s="6" t="str">
        <f>TEXT(Table1[[#This Row],[OrderDate]],"mmm")</f>
        <v>May</v>
      </c>
    </row>
    <row r="467" spans="1:11">
      <c r="A467" s="6">
        <v>1466</v>
      </c>
      <c r="B467" s="6" t="s">
        <v>216</v>
      </c>
      <c r="C467" s="6" t="s">
        <v>47</v>
      </c>
      <c r="D467" s="6" t="s">
        <v>23</v>
      </c>
      <c r="E467" s="6" t="s">
        <v>50</v>
      </c>
      <c r="F467" s="6" t="s">
        <v>51</v>
      </c>
      <c r="G467" s="6">
        <v>3</v>
      </c>
      <c r="H467" s="6">
        <v>2000</v>
      </c>
      <c r="I467" s="6">
        <v>6000</v>
      </c>
      <c r="J467" s="6" t="s">
        <v>34</v>
      </c>
      <c r="K467" s="6" t="str">
        <f>TEXT(Table1[[#This Row],[OrderDate]],"mmm")</f>
        <v>Feb</v>
      </c>
    </row>
    <row r="468" spans="1:11">
      <c r="A468" s="6">
        <v>1467</v>
      </c>
      <c r="B468" s="6" t="s">
        <v>111</v>
      </c>
      <c r="C468" s="6" t="s">
        <v>12</v>
      </c>
      <c r="D468" s="6" t="s">
        <v>30</v>
      </c>
      <c r="E468" s="6" t="s">
        <v>33</v>
      </c>
      <c r="F468" s="6" t="s">
        <v>27</v>
      </c>
      <c r="G468" s="6">
        <v>3</v>
      </c>
      <c r="H468" s="6">
        <v>55000</v>
      </c>
      <c r="I468" s="6">
        <v>165000</v>
      </c>
      <c r="J468" s="6" t="s">
        <v>16</v>
      </c>
      <c r="K468" s="6" t="str">
        <f>TEXT(Table1[[#This Row],[OrderDate]],"mmm")</f>
        <v>Nov</v>
      </c>
    </row>
    <row r="469" spans="1:11">
      <c r="A469" s="6">
        <v>1468</v>
      </c>
      <c r="B469" s="6" t="s">
        <v>300</v>
      </c>
      <c r="C469" s="6" t="s">
        <v>12</v>
      </c>
      <c r="D469" s="6" t="s">
        <v>23</v>
      </c>
      <c r="E469" s="6" t="s">
        <v>43</v>
      </c>
      <c r="F469" s="6" t="s">
        <v>44</v>
      </c>
      <c r="G469" s="6">
        <v>3</v>
      </c>
      <c r="H469" s="6">
        <v>150</v>
      </c>
      <c r="I469" s="6">
        <v>450</v>
      </c>
      <c r="J469" s="6" t="s">
        <v>38</v>
      </c>
      <c r="K469" s="6" t="str">
        <f>TEXT(Table1[[#This Row],[OrderDate]],"mmm")</f>
        <v>Nov</v>
      </c>
    </row>
    <row r="470" spans="1:11">
      <c r="A470" s="6">
        <v>1469</v>
      </c>
      <c r="B470" s="6" t="s">
        <v>301</v>
      </c>
      <c r="C470" s="6" t="s">
        <v>29</v>
      </c>
      <c r="D470" s="6" t="s">
        <v>18</v>
      </c>
      <c r="E470" s="6" t="s">
        <v>26</v>
      </c>
      <c r="F470" s="6" t="s">
        <v>27</v>
      </c>
      <c r="G470" s="6">
        <v>2</v>
      </c>
      <c r="H470" s="6">
        <v>15000</v>
      </c>
      <c r="I470" s="6">
        <v>30000</v>
      </c>
      <c r="J470" s="6" t="s">
        <v>16</v>
      </c>
      <c r="K470" s="6" t="str">
        <f>TEXT(Table1[[#This Row],[OrderDate]],"mmm")</f>
        <v>Jan</v>
      </c>
    </row>
    <row r="471" spans="1:11">
      <c r="A471" s="6">
        <v>1470</v>
      </c>
      <c r="B471" s="6" t="s">
        <v>70</v>
      </c>
      <c r="C471" s="6" t="s">
        <v>12</v>
      </c>
      <c r="D471" s="6" t="s">
        <v>30</v>
      </c>
      <c r="E471" s="6" t="s">
        <v>50</v>
      </c>
      <c r="F471" s="6" t="s">
        <v>51</v>
      </c>
      <c r="G471" s="6">
        <v>5</v>
      </c>
      <c r="H471" s="6">
        <v>2000</v>
      </c>
      <c r="I471" s="6">
        <v>10000</v>
      </c>
      <c r="J471" s="6" t="s">
        <v>38</v>
      </c>
      <c r="K471" s="6" t="str">
        <f>TEXT(Table1[[#This Row],[OrderDate]],"mmm")</f>
        <v>Mar</v>
      </c>
    </row>
    <row r="472" spans="1:11">
      <c r="A472" s="6">
        <v>1471</v>
      </c>
      <c r="B472" s="6" t="s">
        <v>134</v>
      </c>
      <c r="C472" s="6" t="s">
        <v>60</v>
      </c>
      <c r="D472" s="6" t="s">
        <v>23</v>
      </c>
      <c r="E472" s="6" t="s">
        <v>43</v>
      </c>
      <c r="F472" s="6" t="s">
        <v>44</v>
      </c>
      <c r="G472" s="6">
        <v>2</v>
      </c>
      <c r="H472" s="6">
        <v>150</v>
      </c>
      <c r="I472" s="6">
        <v>300</v>
      </c>
      <c r="J472" s="6" t="s">
        <v>34</v>
      </c>
      <c r="K472" s="6" t="str">
        <f>TEXT(Table1[[#This Row],[OrderDate]],"mmm")</f>
        <v>May</v>
      </c>
    </row>
    <row r="473" spans="1:11">
      <c r="A473" s="6">
        <v>1472</v>
      </c>
      <c r="B473" s="6" t="s">
        <v>203</v>
      </c>
      <c r="C473" s="6" t="s">
        <v>32</v>
      </c>
      <c r="D473" s="6" t="s">
        <v>18</v>
      </c>
      <c r="E473" s="6" t="s">
        <v>57</v>
      </c>
      <c r="F473" s="6" t="s">
        <v>44</v>
      </c>
      <c r="G473" s="6">
        <v>3</v>
      </c>
      <c r="H473" s="6">
        <v>20</v>
      </c>
      <c r="I473" s="6">
        <v>60</v>
      </c>
      <c r="J473" s="6" t="s">
        <v>38</v>
      </c>
      <c r="K473" s="6" t="str">
        <f>TEXT(Table1[[#This Row],[OrderDate]],"mmm")</f>
        <v>Oct</v>
      </c>
    </row>
    <row r="474" spans="1:11">
      <c r="A474" s="6">
        <v>1473</v>
      </c>
      <c r="B474" s="6" t="s">
        <v>163</v>
      </c>
      <c r="C474" s="6" t="s">
        <v>32</v>
      </c>
      <c r="D474" s="6" t="s">
        <v>18</v>
      </c>
      <c r="E474" s="6" t="s">
        <v>19</v>
      </c>
      <c r="F474" s="6" t="s">
        <v>15</v>
      </c>
      <c r="G474" s="6">
        <v>5</v>
      </c>
      <c r="H474" s="6">
        <v>4500</v>
      </c>
      <c r="I474" s="6">
        <v>22500</v>
      </c>
      <c r="J474" s="6" t="s">
        <v>34</v>
      </c>
      <c r="K474" s="6" t="str">
        <f>TEXT(Table1[[#This Row],[OrderDate]],"mmm")</f>
        <v>Apr</v>
      </c>
    </row>
    <row r="475" spans="1:11">
      <c r="A475" s="6">
        <v>1474</v>
      </c>
      <c r="B475" s="6" t="s">
        <v>169</v>
      </c>
      <c r="C475" s="6" t="s">
        <v>25</v>
      </c>
      <c r="D475" s="6" t="s">
        <v>18</v>
      </c>
      <c r="E475" s="6" t="s">
        <v>43</v>
      </c>
      <c r="F475" s="6" t="s">
        <v>44</v>
      </c>
      <c r="G475" s="6">
        <v>1</v>
      </c>
      <c r="H475" s="6">
        <v>150</v>
      </c>
      <c r="I475" s="6">
        <v>150</v>
      </c>
      <c r="J475" s="6" t="s">
        <v>16</v>
      </c>
      <c r="K475" s="6" t="str">
        <f>TEXT(Table1[[#This Row],[OrderDate]],"mmm")</f>
        <v>Sep</v>
      </c>
    </row>
    <row r="476" spans="1:11">
      <c r="A476" s="6">
        <v>1475</v>
      </c>
      <c r="B476" s="6" t="s">
        <v>45</v>
      </c>
      <c r="C476" s="6" t="s">
        <v>54</v>
      </c>
      <c r="D476" s="6" t="s">
        <v>18</v>
      </c>
      <c r="E476" s="6" t="s">
        <v>19</v>
      </c>
      <c r="F476" s="6" t="s">
        <v>15</v>
      </c>
      <c r="G476" s="6">
        <v>2</v>
      </c>
      <c r="H476" s="6">
        <v>4500</v>
      </c>
      <c r="I476" s="6">
        <v>9000</v>
      </c>
      <c r="J476" s="6" t="s">
        <v>38</v>
      </c>
      <c r="K476" s="6" t="str">
        <f>TEXT(Table1[[#This Row],[OrderDate]],"mmm")</f>
        <v>Jan</v>
      </c>
    </row>
    <row r="477" spans="1:11">
      <c r="A477" s="6">
        <v>1476</v>
      </c>
      <c r="B477" s="6" t="s">
        <v>302</v>
      </c>
      <c r="C477" s="6" t="s">
        <v>12</v>
      </c>
      <c r="D477" s="6" t="s">
        <v>18</v>
      </c>
      <c r="E477" s="6" t="s">
        <v>14</v>
      </c>
      <c r="F477" s="6" t="s">
        <v>15</v>
      </c>
      <c r="G477" s="6">
        <v>3</v>
      </c>
      <c r="H477" s="6">
        <v>8000</v>
      </c>
      <c r="I477" s="6">
        <v>24000</v>
      </c>
      <c r="J477" s="6" t="s">
        <v>38</v>
      </c>
      <c r="K477" s="6" t="str">
        <f>TEXT(Table1[[#This Row],[OrderDate]],"mmm")</f>
        <v>May</v>
      </c>
    </row>
    <row r="478" spans="1:11">
      <c r="A478" s="6">
        <v>1477</v>
      </c>
      <c r="B478" s="6" t="s">
        <v>155</v>
      </c>
      <c r="C478" s="6" t="s">
        <v>22</v>
      </c>
      <c r="D478" s="6" t="s">
        <v>18</v>
      </c>
      <c r="E478" s="6" t="s">
        <v>33</v>
      </c>
      <c r="F478" s="6" t="s">
        <v>27</v>
      </c>
      <c r="G478" s="6">
        <v>1</v>
      </c>
      <c r="H478" s="6">
        <v>55000</v>
      </c>
      <c r="I478" s="6">
        <v>55000</v>
      </c>
      <c r="J478" s="6" t="s">
        <v>34</v>
      </c>
      <c r="K478" s="6" t="str">
        <f>TEXT(Table1[[#This Row],[OrderDate]],"mmm")</f>
        <v>Jul</v>
      </c>
    </row>
    <row r="479" spans="1:11">
      <c r="A479" s="6">
        <v>1478</v>
      </c>
      <c r="B479" s="6" t="s">
        <v>168</v>
      </c>
      <c r="C479" s="6" t="s">
        <v>32</v>
      </c>
      <c r="D479" s="6" t="s">
        <v>30</v>
      </c>
      <c r="E479" s="6" t="s">
        <v>19</v>
      </c>
      <c r="F479" s="6" t="s">
        <v>15</v>
      </c>
      <c r="G479" s="6">
        <v>5</v>
      </c>
      <c r="H479" s="6">
        <v>4500</v>
      </c>
      <c r="I479" s="6">
        <v>22500</v>
      </c>
      <c r="J479" s="6" t="s">
        <v>20</v>
      </c>
      <c r="K479" s="6" t="str">
        <f>TEXT(Table1[[#This Row],[OrderDate]],"mmm")</f>
        <v>Mar</v>
      </c>
    </row>
    <row r="480" spans="1:11">
      <c r="A480" s="6">
        <v>1479</v>
      </c>
      <c r="B480" s="6" t="s">
        <v>149</v>
      </c>
      <c r="C480" s="6" t="s">
        <v>54</v>
      </c>
      <c r="D480" s="6" t="s">
        <v>13</v>
      </c>
      <c r="E480" s="6" t="s">
        <v>33</v>
      </c>
      <c r="F480" s="6" t="s">
        <v>27</v>
      </c>
      <c r="G480" s="6">
        <v>1</v>
      </c>
      <c r="H480" s="6">
        <v>55000</v>
      </c>
      <c r="I480" s="6">
        <v>55000</v>
      </c>
      <c r="J480" s="6" t="s">
        <v>34</v>
      </c>
      <c r="K480" s="6" t="str">
        <f>TEXT(Table1[[#This Row],[OrderDate]],"mmm")</f>
        <v>Oct</v>
      </c>
    </row>
    <row r="481" spans="1:11">
      <c r="A481" s="6">
        <v>1480</v>
      </c>
      <c r="B481" s="6" t="s">
        <v>105</v>
      </c>
      <c r="C481" s="6" t="s">
        <v>71</v>
      </c>
      <c r="D481" s="6" t="s">
        <v>23</v>
      </c>
      <c r="E481" s="6" t="s">
        <v>33</v>
      </c>
      <c r="F481" s="6" t="s">
        <v>27</v>
      </c>
      <c r="G481" s="6">
        <v>4</v>
      </c>
      <c r="H481" s="6">
        <v>55000</v>
      </c>
      <c r="I481" s="6">
        <v>220000</v>
      </c>
      <c r="J481" s="6" t="s">
        <v>38</v>
      </c>
      <c r="K481" s="6" t="str">
        <f>TEXT(Table1[[#This Row],[OrderDate]],"mmm")</f>
        <v>May</v>
      </c>
    </row>
    <row r="482" spans="1:11">
      <c r="A482" s="6">
        <v>1481</v>
      </c>
      <c r="B482" s="6" t="s">
        <v>169</v>
      </c>
      <c r="C482" s="6" t="s">
        <v>71</v>
      </c>
      <c r="D482" s="6" t="s">
        <v>13</v>
      </c>
      <c r="E482" s="6" t="s">
        <v>43</v>
      </c>
      <c r="F482" s="6" t="s">
        <v>44</v>
      </c>
      <c r="G482" s="6">
        <v>4</v>
      </c>
      <c r="H482" s="6">
        <v>150</v>
      </c>
      <c r="I482" s="6">
        <v>600</v>
      </c>
      <c r="J482" s="6" t="s">
        <v>34</v>
      </c>
      <c r="K482" s="6" t="str">
        <f>TEXT(Table1[[#This Row],[OrderDate]],"mmm")</f>
        <v>Sep</v>
      </c>
    </row>
    <row r="483" spans="1:11">
      <c r="A483" s="6">
        <v>1482</v>
      </c>
      <c r="B483" s="6" t="s">
        <v>303</v>
      </c>
      <c r="C483" s="6" t="s">
        <v>32</v>
      </c>
      <c r="D483" s="6" t="s">
        <v>23</v>
      </c>
      <c r="E483" s="6" t="s">
        <v>33</v>
      </c>
      <c r="F483" s="6" t="s">
        <v>27</v>
      </c>
      <c r="G483" s="6">
        <v>1</v>
      </c>
      <c r="H483" s="6">
        <v>55000</v>
      </c>
      <c r="I483" s="6">
        <v>55000</v>
      </c>
      <c r="J483" s="6" t="s">
        <v>20</v>
      </c>
      <c r="K483" s="6" t="str">
        <f>TEXT(Table1[[#This Row],[OrderDate]],"mmm")</f>
        <v>Jul</v>
      </c>
    </row>
    <row r="484" spans="1:11">
      <c r="A484" s="6">
        <v>1483</v>
      </c>
      <c r="B484" s="6" t="s">
        <v>129</v>
      </c>
      <c r="C484" s="6" t="s">
        <v>29</v>
      </c>
      <c r="D484" s="6" t="s">
        <v>18</v>
      </c>
      <c r="E484" s="6" t="s">
        <v>40</v>
      </c>
      <c r="F484" s="6" t="s">
        <v>27</v>
      </c>
      <c r="G484" s="6">
        <v>3</v>
      </c>
      <c r="H484" s="6">
        <v>20000</v>
      </c>
      <c r="I484" s="6">
        <v>60000</v>
      </c>
      <c r="J484" s="6" t="s">
        <v>38</v>
      </c>
      <c r="K484" s="6" t="str">
        <f>TEXT(Table1[[#This Row],[OrderDate]],"mmm")</f>
        <v>Jun</v>
      </c>
    </row>
    <row r="485" spans="1:11">
      <c r="A485" s="6">
        <v>1484</v>
      </c>
      <c r="B485" s="6" t="s">
        <v>304</v>
      </c>
      <c r="C485" s="6" t="s">
        <v>42</v>
      </c>
      <c r="D485" s="6" t="s">
        <v>18</v>
      </c>
      <c r="E485" s="6" t="s">
        <v>57</v>
      </c>
      <c r="F485" s="6" t="s">
        <v>44</v>
      </c>
      <c r="G485" s="6">
        <v>1</v>
      </c>
      <c r="H485" s="6">
        <v>20</v>
      </c>
      <c r="I485" s="6">
        <v>20</v>
      </c>
      <c r="J485" s="6" t="s">
        <v>34</v>
      </c>
      <c r="K485" s="6" t="str">
        <f>TEXT(Table1[[#This Row],[OrderDate]],"mmm")</f>
        <v>Oct</v>
      </c>
    </row>
    <row r="486" spans="1:11">
      <c r="A486" s="6">
        <v>1485</v>
      </c>
      <c r="B486" s="6" t="s">
        <v>45</v>
      </c>
      <c r="C486" s="6" t="s">
        <v>22</v>
      </c>
      <c r="D486" s="6" t="s">
        <v>13</v>
      </c>
      <c r="E486" s="6" t="s">
        <v>19</v>
      </c>
      <c r="F486" s="6" t="s">
        <v>15</v>
      </c>
      <c r="G486" s="6">
        <v>3</v>
      </c>
      <c r="H486" s="6">
        <v>4500</v>
      </c>
      <c r="I486" s="6">
        <v>13500</v>
      </c>
      <c r="J486" s="6" t="s">
        <v>38</v>
      </c>
      <c r="K486" s="6" t="str">
        <f>TEXT(Table1[[#This Row],[OrderDate]],"mmm")</f>
        <v>Jan</v>
      </c>
    </row>
    <row r="487" spans="1:11">
      <c r="A487" s="6">
        <v>1486</v>
      </c>
      <c r="B487" s="6" t="s">
        <v>267</v>
      </c>
      <c r="C487" s="6" t="s">
        <v>12</v>
      </c>
      <c r="D487" s="6" t="s">
        <v>23</v>
      </c>
      <c r="E487" s="6" t="s">
        <v>40</v>
      </c>
      <c r="F487" s="6" t="s">
        <v>27</v>
      </c>
      <c r="G487" s="6">
        <v>2</v>
      </c>
      <c r="H487" s="6">
        <v>20000</v>
      </c>
      <c r="I487" s="6">
        <v>40000</v>
      </c>
      <c r="J487" s="6" t="s">
        <v>34</v>
      </c>
      <c r="K487" s="6" t="str">
        <f>TEXT(Table1[[#This Row],[OrderDate]],"mmm")</f>
        <v>Feb</v>
      </c>
    </row>
    <row r="488" spans="1:11">
      <c r="A488" s="6">
        <v>1487</v>
      </c>
      <c r="B488" s="6" t="s">
        <v>48</v>
      </c>
      <c r="C488" s="6" t="s">
        <v>71</v>
      </c>
      <c r="D488" s="6" t="s">
        <v>23</v>
      </c>
      <c r="E488" s="6" t="s">
        <v>57</v>
      </c>
      <c r="F488" s="6" t="s">
        <v>44</v>
      </c>
      <c r="G488" s="6">
        <v>5</v>
      </c>
      <c r="H488" s="6">
        <v>20</v>
      </c>
      <c r="I488" s="6">
        <v>100</v>
      </c>
      <c r="J488" s="6" t="s">
        <v>20</v>
      </c>
      <c r="K488" s="6" t="str">
        <f>TEXT(Table1[[#This Row],[OrderDate]],"mmm")</f>
        <v>May</v>
      </c>
    </row>
    <row r="489" spans="1:11">
      <c r="A489" s="6">
        <v>1488</v>
      </c>
      <c r="B489" s="6" t="s">
        <v>264</v>
      </c>
      <c r="C489" s="6" t="s">
        <v>25</v>
      </c>
      <c r="D489" s="6" t="s">
        <v>23</v>
      </c>
      <c r="E489" s="6" t="s">
        <v>50</v>
      </c>
      <c r="F489" s="6" t="s">
        <v>51</v>
      </c>
      <c r="G489" s="6">
        <v>3</v>
      </c>
      <c r="H489" s="6">
        <v>2000</v>
      </c>
      <c r="I489" s="6">
        <v>6000</v>
      </c>
      <c r="J489" s="6" t="s">
        <v>38</v>
      </c>
      <c r="K489" s="6" t="str">
        <f>TEXT(Table1[[#This Row],[OrderDate]],"mmm")</f>
        <v>Sep</v>
      </c>
    </row>
    <row r="490" spans="1:11">
      <c r="A490" s="6">
        <v>1489</v>
      </c>
      <c r="B490" s="6" t="s">
        <v>145</v>
      </c>
      <c r="C490" s="6" t="s">
        <v>42</v>
      </c>
      <c r="D490" s="6" t="s">
        <v>13</v>
      </c>
      <c r="E490" s="6" t="s">
        <v>14</v>
      </c>
      <c r="F490" s="6" t="s">
        <v>15</v>
      </c>
      <c r="G490" s="6">
        <v>5</v>
      </c>
      <c r="H490" s="6">
        <v>8000</v>
      </c>
      <c r="I490" s="6">
        <v>40000</v>
      </c>
      <c r="J490" s="6" t="s">
        <v>16</v>
      </c>
      <c r="K490" s="6" t="str">
        <f>TEXT(Table1[[#This Row],[OrderDate]],"mmm")</f>
        <v>Sep</v>
      </c>
    </row>
    <row r="491" spans="1:11">
      <c r="A491" s="6">
        <v>1490</v>
      </c>
      <c r="B491" s="6" t="s">
        <v>305</v>
      </c>
      <c r="C491" s="6" t="s">
        <v>54</v>
      </c>
      <c r="D491" s="6" t="s">
        <v>13</v>
      </c>
      <c r="E491" s="6" t="s">
        <v>40</v>
      </c>
      <c r="F491" s="6" t="s">
        <v>27</v>
      </c>
      <c r="G491" s="6">
        <v>1</v>
      </c>
      <c r="H491" s="6">
        <v>20000</v>
      </c>
      <c r="I491" s="6">
        <v>20000</v>
      </c>
      <c r="J491" s="6" t="s">
        <v>20</v>
      </c>
      <c r="K491" s="6" t="str">
        <f>TEXT(Table1[[#This Row],[OrderDate]],"mmm")</f>
        <v>Nov</v>
      </c>
    </row>
    <row r="492" spans="1:11">
      <c r="A492" s="6">
        <v>1491</v>
      </c>
      <c r="B492" s="6" t="s">
        <v>48</v>
      </c>
      <c r="C492" s="6" t="s">
        <v>22</v>
      </c>
      <c r="D492" s="6" t="s">
        <v>13</v>
      </c>
      <c r="E492" s="6" t="s">
        <v>40</v>
      </c>
      <c r="F492" s="6" t="s">
        <v>27</v>
      </c>
      <c r="G492" s="6">
        <v>4</v>
      </c>
      <c r="H492" s="6">
        <v>20000</v>
      </c>
      <c r="I492" s="6">
        <v>80000</v>
      </c>
      <c r="J492" s="6" t="s">
        <v>16</v>
      </c>
      <c r="K492" s="6" t="str">
        <f>TEXT(Table1[[#This Row],[OrderDate]],"mmm")</f>
        <v>May</v>
      </c>
    </row>
    <row r="493" spans="1:11">
      <c r="A493" s="6">
        <v>1492</v>
      </c>
      <c r="B493" s="6" t="s">
        <v>255</v>
      </c>
      <c r="C493" s="6" t="s">
        <v>25</v>
      </c>
      <c r="D493" s="6" t="s">
        <v>13</v>
      </c>
      <c r="E493" s="6" t="s">
        <v>43</v>
      </c>
      <c r="F493" s="6" t="s">
        <v>44</v>
      </c>
      <c r="G493" s="6">
        <v>1</v>
      </c>
      <c r="H493" s="6">
        <v>150</v>
      </c>
      <c r="I493" s="6">
        <v>150</v>
      </c>
      <c r="J493" s="6" t="s">
        <v>16</v>
      </c>
      <c r="K493" s="6" t="str">
        <f>TEXT(Table1[[#This Row],[OrderDate]],"mmm")</f>
        <v>Apr</v>
      </c>
    </row>
    <row r="494" spans="1:11">
      <c r="A494" s="6">
        <v>1493</v>
      </c>
      <c r="B494" s="6" t="s">
        <v>196</v>
      </c>
      <c r="C494" s="6" t="s">
        <v>42</v>
      </c>
      <c r="D494" s="6" t="s">
        <v>18</v>
      </c>
      <c r="E494" s="6" t="s">
        <v>40</v>
      </c>
      <c r="F494" s="6" t="s">
        <v>27</v>
      </c>
      <c r="G494" s="6">
        <v>5</v>
      </c>
      <c r="H494" s="6">
        <v>20000</v>
      </c>
      <c r="I494" s="6">
        <v>100000</v>
      </c>
      <c r="J494" s="6" t="s">
        <v>38</v>
      </c>
      <c r="K494" s="6" t="str">
        <f>TEXT(Table1[[#This Row],[OrderDate]],"mmm")</f>
        <v>Sep</v>
      </c>
    </row>
    <row r="495" spans="1:11">
      <c r="A495" s="6">
        <v>1494</v>
      </c>
      <c r="B495" s="6" t="s">
        <v>160</v>
      </c>
      <c r="C495" s="6" t="s">
        <v>54</v>
      </c>
      <c r="D495" s="6" t="s">
        <v>23</v>
      </c>
      <c r="E495" s="6" t="s">
        <v>43</v>
      </c>
      <c r="F495" s="6" t="s">
        <v>44</v>
      </c>
      <c r="G495" s="6">
        <v>5</v>
      </c>
      <c r="H495" s="6">
        <v>150</v>
      </c>
      <c r="I495" s="6">
        <v>750</v>
      </c>
      <c r="J495" s="6" t="s">
        <v>34</v>
      </c>
      <c r="K495" s="6" t="str">
        <f>TEXT(Table1[[#This Row],[OrderDate]],"mmm")</f>
        <v>Jul</v>
      </c>
    </row>
    <row r="496" spans="1:11">
      <c r="A496" s="6">
        <v>1495</v>
      </c>
      <c r="B496" s="6" t="s">
        <v>235</v>
      </c>
      <c r="C496" s="6" t="s">
        <v>60</v>
      </c>
      <c r="D496" s="6" t="s">
        <v>18</v>
      </c>
      <c r="E496" s="6" t="s">
        <v>19</v>
      </c>
      <c r="F496" s="6" t="s">
        <v>15</v>
      </c>
      <c r="G496" s="6">
        <v>3</v>
      </c>
      <c r="H496" s="6">
        <v>4500</v>
      </c>
      <c r="I496" s="6">
        <v>13500</v>
      </c>
      <c r="J496" s="6" t="s">
        <v>16</v>
      </c>
      <c r="K496" s="6" t="str">
        <f>TEXT(Table1[[#This Row],[OrderDate]],"mmm")</f>
        <v>Jan</v>
      </c>
    </row>
    <row r="497" spans="1:11">
      <c r="A497" s="6">
        <v>1496</v>
      </c>
      <c r="B497" s="6" t="s">
        <v>270</v>
      </c>
      <c r="C497" s="6" t="s">
        <v>29</v>
      </c>
      <c r="D497" s="6" t="s">
        <v>23</v>
      </c>
      <c r="E497" s="6" t="s">
        <v>26</v>
      </c>
      <c r="F497" s="6" t="s">
        <v>27</v>
      </c>
      <c r="G497" s="6">
        <v>2</v>
      </c>
      <c r="H497" s="6">
        <v>15000</v>
      </c>
      <c r="I497" s="6">
        <v>30000</v>
      </c>
      <c r="J497" s="6" t="s">
        <v>16</v>
      </c>
      <c r="K497" s="6" t="str">
        <f>TEXT(Table1[[#This Row],[OrderDate]],"mmm")</f>
        <v>Feb</v>
      </c>
    </row>
    <row r="498" spans="1:11">
      <c r="A498" s="6">
        <v>1497</v>
      </c>
      <c r="B498" s="6" t="s">
        <v>306</v>
      </c>
      <c r="C498" s="6" t="s">
        <v>29</v>
      </c>
      <c r="D498" s="6" t="s">
        <v>30</v>
      </c>
      <c r="E498" s="6" t="s">
        <v>40</v>
      </c>
      <c r="F498" s="6" t="s">
        <v>27</v>
      </c>
      <c r="G498" s="6">
        <v>3</v>
      </c>
      <c r="H498" s="6">
        <v>20000</v>
      </c>
      <c r="I498" s="6">
        <v>60000</v>
      </c>
      <c r="J498" s="6" t="s">
        <v>20</v>
      </c>
      <c r="K498" s="6" t="str">
        <f>TEXT(Table1[[#This Row],[OrderDate]],"mmm")</f>
        <v>Sep</v>
      </c>
    </row>
    <row r="499" spans="1:11">
      <c r="A499" s="6">
        <v>1498</v>
      </c>
      <c r="B499" s="6" t="s">
        <v>307</v>
      </c>
      <c r="C499" s="6" t="s">
        <v>42</v>
      </c>
      <c r="D499" s="6" t="s">
        <v>23</v>
      </c>
      <c r="E499" s="6" t="s">
        <v>50</v>
      </c>
      <c r="F499" s="6" t="s">
        <v>51</v>
      </c>
      <c r="G499" s="6">
        <v>3</v>
      </c>
      <c r="H499" s="6">
        <v>2000</v>
      </c>
      <c r="I499" s="6">
        <v>6000</v>
      </c>
      <c r="J499" s="6" t="s">
        <v>38</v>
      </c>
      <c r="K499" s="6" t="str">
        <f>TEXT(Table1[[#This Row],[OrderDate]],"mmm")</f>
        <v>Aug</v>
      </c>
    </row>
    <row r="500" spans="1:11">
      <c r="A500" s="6">
        <v>1499</v>
      </c>
      <c r="B500" s="6" t="s">
        <v>269</v>
      </c>
      <c r="C500" s="6" t="s">
        <v>29</v>
      </c>
      <c r="D500" s="6" t="s">
        <v>18</v>
      </c>
      <c r="E500" s="6" t="s">
        <v>26</v>
      </c>
      <c r="F500" s="6" t="s">
        <v>27</v>
      </c>
      <c r="G500" s="6">
        <v>4</v>
      </c>
      <c r="H500" s="6">
        <v>15000</v>
      </c>
      <c r="I500" s="6">
        <v>60000</v>
      </c>
      <c r="J500" s="6" t="s">
        <v>20</v>
      </c>
      <c r="K500" s="6" t="str">
        <f>TEXT(Table1[[#This Row],[OrderDate]],"mmm")</f>
        <v>Feb</v>
      </c>
    </row>
    <row r="501" spans="1:11">
      <c r="A501" s="6">
        <v>1500</v>
      </c>
      <c r="B501" s="6" t="s">
        <v>308</v>
      </c>
      <c r="C501" s="6" t="s">
        <v>22</v>
      </c>
      <c r="D501" s="6" t="s">
        <v>13</v>
      </c>
      <c r="E501" s="6" t="s">
        <v>43</v>
      </c>
      <c r="F501" s="6" t="s">
        <v>44</v>
      </c>
      <c r="G501" s="6">
        <v>5</v>
      </c>
      <c r="H501" s="6">
        <v>150</v>
      </c>
      <c r="I501" s="6">
        <v>750</v>
      </c>
      <c r="J501" s="6" t="s">
        <v>38</v>
      </c>
      <c r="K501" s="6" t="str">
        <f>TEXT(Table1[[#This Row],[OrderDate]],"mmm")</f>
        <v>Jul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E553-C500-4F09-BE5D-0B53CFD64636}">
  <dimension ref="A1:O501"/>
  <sheetViews>
    <sheetView workbookViewId="0">
      <selection activeCell="A7" sqref="A7"/>
    </sheetView>
  </sheetViews>
  <sheetFormatPr defaultRowHeight="15"/>
  <cols>
    <col min="1" max="1" width="10.28515625" bestFit="1" customWidth="1"/>
    <col min="2" max="2" width="12.5703125" bestFit="1" customWidth="1"/>
    <col min="3" max="3" width="17" bestFit="1" customWidth="1"/>
    <col min="6" max="6" width="11.140625" bestFit="1" customWidth="1"/>
    <col min="8" max="8" width="11.42578125" bestFit="1" customWidth="1"/>
    <col min="9" max="9" width="14.85546875" bestFit="1" customWidth="1"/>
    <col min="10" max="10" width="16.28515625" bestFit="1" customWidth="1"/>
    <col min="12" max="12" width="20.42578125" bestFit="1" customWidth="1"/>
    <col min="14" max="14" width="14" bestFit="1" customWidth="1"/>
    <col min="15" max="15" width="12.85546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>
      <c r="A2">
        <v>1050</v>
      </c>
      <c r="B2" t="s">
        <v>88</v>
      </c>
      <c r="C2" t="s">
        <v>54</v>
      </c>
      <c r="D2" t="s">
        <v>13</v>
      </c>
      <c r="E2" t="s">
        <v>33</v>
      </c>
      <c r="F2" t="s">
        <v>27</v>
      </c>
      <c r="G2">
        <v>5</v>
      </c>
      <c r="H2">
        <v>55000</v>
      </c>
      <c r="I2">
        <v>275000</v>
      </c>
      <c r="J2" t="s">
        <v>20</v>
      </c>
      <c r="O2" s="1"/>
    </row>
    <row r="3" spans="1:15">
      <c r="A3">
        <v>1054</v>
      </c>
      <c r="B3" t="s">
        <v>91</v>
      </c>
      <c r="C3" t="s">
        <v>25</v>
      </c>
      <c r="D3" t="s">
        <v>18</v>
      </c>
      <c r="E3" t="s">
        <v>33</v>
      </c>
      <c r="F3" t="s">
        <v>27</v>
      </c>
      <c r="G3">
        <v>5</v>
      </c>
      <c r="H3">
        <v>55000</v>
      </c>
      <c r="I3">
        <v>275000</v>
      </c>
      <c r="J3" t="s">
        <v>34</v>
      </c>
      <c r="K3" t="s">
        <v>309</v>
      </c>
      <c r="L3" t="s">
        <v>310</v>
      </c>
      <c r="N3" t="s">
        <v>311</v>
      </c>
    </row>
    <row r="4" spans="1:15">
      <c r="A4">
        <v>1056</v>
      </c>
      <c r="B4" t="s">
        <v>92</v>
      </c>
      <c r="C4" t="s">
        <v>12</v>
      </c>
      <c r="D4" t="s">
        <v>13</v>
      </c>
      <c r="E4" t="s">
        <v>33</v>
      </c>
      <c r="F4" t="s">
        <v>27</v>
      </c>
      <c r="G4">
        <v>5</v>
      </c>
      <c r="H4">
        <v>55000</v>
      </c>
      <c r="I4">
        <v>275000</v>
      </c>
      <c r="J4" t="s">
        <v>34</v>
      </c>
      <c r="L4" t="s">
        <v>312</v>
      </c>
      <c r="N4" t="str" cm="1">
        <f t="array" ref="N4:N13">_xlfn.UNIQUE(Table14[CustomerName])</f>
        <v>Ravi</v>
      </c>
    </row>
    <row r="5" spans="1:15">
      <c r="A5">
        <v>1152</v>
      </c>
      <c r="B5" t="s">
        <v>163</v>
      </c>
      <c r="C5" t="s">
        <v>47</v>
      </c>
      <c r="D5" t="s">
        <v>30</v>
      </c>
      <c r="E5" t="s">
        <v>33</v>
      </c>
      <c r="F5" t="s">
        <v>27</v>
      </c>
      <c r="G5">
        <v>5</v>
      </c>
      <c r="H5">
        <v>55000</v>
      </c>
      <c r="I5">
        <v>275000</v>
      </c>
      <c r="J5" t="s">
        <v>34</v>
      </c>
      <c r="K5">
        <v>1020</v>
      </c>
      <c r="L5">
        <f>VLOOKUP(K5,Table14[#All],9,FALSE)</f>
        <v>80</v>
      </c>
      <c r="N5" t="str">
        <v>Neha</v>
      </c>
    </row>
    <row r="6" spans="1:15">
      <c r="A6">
        <v>1167</v>
      </c>
      <c r="B6" t="s">
        <v>173</v>
      </c>
      <c r="C6" t="s">
        <v>54</v>
      </c>
      <c r="D6" t="s">
        <v>13</v>
      </c>
      <c r="E6" t="s">
        <v>33</v>
      </c>
      <c r="F6" t="s">
        <v>27</v>
      </c>
      <c r="G6">
        <v>5</v>
      </c>
      <c r="H6">
        <v>55000</v>
      </c>
      <c r="I6">
        <v>275000</v>
      </c>
      <c r="J6" t="s">
        <v>20</v>
      </c>
      <c r="N6" t="str">
        <v>Amit</v>
      </c>
    </row>
    <row r="7" spans="1:15">
      <c r="A7">
        <v>1234</v>
      </c>
      <c r="B7" t="s">
        <v>128</v>
      </c>
      <c r="C7" t="s">
        <v>42</v>
      </c>
      <c r="D7" t="s">
        <v>23</v>
      </c>
      <c r="E7" t="s">
        <v>33</v>
      </c>
      <c r="F7" t="s">
        <v>27</v>
      </c>
      <c r="G7">
        <v>5</v>
      </c>
      <c r="H7">
        <v>55000</v>
      </c>
      <c r="I7">
        <v>275000</v>
      </c>
      <c r="J7" t="s">
        <v>34</v>
      </c>
      <c r="L7">
        <f>SUMIF(Table14[[#All],[TotalAmount]],"15000")</f>
        <v>210000</v>
      </c>
      <c r="N7" t="str">
        <v>Anjali</v>
      </c>
    </row>
    <row r="8" spans="1:15">
      <c r="A8">
        <v>1324</v>
      </c>
      <c r="B8" t="s">
        <v>102</v>
      </c>
      <c r="C8" t="s">
        <v>29</v>
      </c>
      <c r="D8" t="s">
        <v>23</v>
      </c>
      <c r="E8" t="s">
        <v>33</v>
      </c>
      <c r="F8" t="s">
        <v>27</v>
      </c>
      <c r="G8">
        <v>5</v>
      </c>
      <c r="H8">
        <v>55000</v>
      </c>
      <c r="I8">
        <v>275000</v>
      </c>
      <c r="J8" t="s">
        <v>34</v>
      </c>
      <c r="N8" t="str">
        <v>Vikas</v>
      </c>
    </row>
    <row r="9" spans="1:15">
      <c r="A9">
        <v>1354</v>
      </c>
      <c r="B9" t="s">
        <v>88</v>
      </c>
      <c r="C9" t="s">
        <v>42</v>
      </c>
      <c r="D9" t="s">
        <v>18</v>
      </c>
      <c r="E9" t="s">
        <v>33</v>
      </c>
      <c r="F9" t="s">
        <v>27</v>
      </c>
      <c r="G9">
        <v>5</v>
      </c>
      <c r="H9">
        <v>55000</v>
      </c>
      <c r="I9">
        <v>275000</v>
      </c>
      <c r="J9" t="s">
        <v>16</v>
      </c>
      <c r="N9" t="str">
        <v>Rahul</v>
      </c>
    </row>
    <row r="10" spans="1:15">
      <c r="A10">
        <v>1359</v>
      </c>
      <c r="B10" t="s">
        <v>262</v>
      </c>
      <c r="C10" t="s">
        <v>32</v>
      </c>
      <c r="D10" t="s">
        <v>18</v>
      </c>
      <c r="E10" t="s">
        <v>33</v>
      </c>
      <c r="F10" t="s">
        <v>27</v>
      </c>
      <c r="G10">
        <v>5</v>
      </c>
      <c r="H10">
        <v>55000</v>
      </c>
      <c r="I10">
        <v>275000</v>
      </c>
      <c r="J10" t="s">
        <v>38</v>
      </c>
      <c r="N10" t="str">
        <v>Priya</v>
      </c>
    </row>
    <row r="11" spans="1:15">
      <c r="A11">
        <v>1381</v>
      </c>
      <c r="B11" t="s">
        <v>270</v>
      </c>
      <c r="C11" t="s">
        <v>42</v>
      </c>
      <c r="D11" t="s">
        <v>18</v>
      </c>
      <c r="E11" t="s">
        <v>33</v>
      </c>
      <c r="F11" t="s">
        <v>27</v>
      </c>
      <c r="G11">
        <v>5</v>
      </c>
      <c r="H11">
        <v>55000</v>
      </c>
      <c r="I11">
        <v>275000</v>
      </c>
      <c r="J11" t="s">
        <v>16</v>
      </c>
      <c r="N11" t="str">
        <v>Kiran</v>
      </c>
    </row>
    <row r="12" spans="1:15">
      <c r="A12">
        <v>1394</v>
      </c>
      <c r="B12" t="s">
        <v>278</v>
      </c>
      <c r="C12" t="s">
        <v>54</v>
      </c>
      <c r="D12" t="s">
        <v>18</v>
      </c>
      <c r="E12" t="s">
        <v>33</v>
      </c>
      <c r="F12" t="s">
        <v>27</v>
      </c>
      <c r="G12">
        <v>5</v>
      </c>
      <c r="H12">
        <v>55000</v>
      </c>
      <c r="I12">
        <v>275000</v>
      </c>
      <c r="J12" t="s">
        <v>38</v>
      </c>
      <c r="N12" t="str">
        <v>Suresh</v>
      </c>
    </row>
    <row r="13" spans="1:15">
      <c r="A13">
        <v>1437</v>
      </c>
      <c r="B13" t="s">
        <v>116</v>
      </c>
      <c r="C13" t="s">
        <v>29</v>
      </c>
      <c r="D13" t="s">
        <v>18</v>
      </c>
      <c r="E13" t="s">
        <v>33</v>
      </c>
      <c r="F13" t="s">
        <v>27</v>
      </c>
      <c r="G13">
        <v>5</v>
      </c>
      <c r="H13">
        <v>55000</v>
      </c>
      <c r="I13">
        <v>275000</v>
      </c>
      <c r="J13" t="s">
        <v>34</v>
      </c>
      <c r="N13" t="str">
        <v>Pooja</v>
      </c>
    </row>
    <row r="14" spans="1:15">
      <c r="A14">
        <v>1006</v>
      </c>
      <c r="B14" t="s">
        <v>31</v>
      </c>
      <c r="C14" t="s">
        <v>32</v>
      </c>
      <c r="D14" t="s">
        <v>18</v>
      </c>
      <c r="E14" t="s">
        <v>33</v>
      </c>
      <c r="F14" t="s">
        <v>27</v>
      </c>
      <c r="G14">
        <v>4</v>
      </c>
      <c r="H14">
        <v>55000</v>
      </c>
      <c r="I14">
        <v>220000</v>
      </c>
      <c r="J14" t="s">
        <v>34</v>
      </c>
    </row>
    <row r="15" spans="1:15">
      <c r="A15">
        <v>1116</v>
      </c>
      <c r="B15" t="s">
        <v>113</v>
      </c>
      <c r="C15" t="s">
        <v>47</v>
      </c>
      <c r="D15" t="s">
        <v>23</v>
      </c>
      <c r="E15" t="s">
        <v>33</v>
      </c>
      <c r="F15" t="s">
        <v>27</v>
      </c>
      <c r="G15">
        <v>4</v>
      </c>
      <c r="H15">
        <v>55000</v>
      </c>
      <c r="I15">
        <v>220000</v>
      </c>
      <c r="J15" t="s">
        <v>38</v>
      </c>
    </row>
    <row r="16" spans="1:15">
      <c r="A16">
        <v>1154</v>
      </c>
      <c r="B16" t="s">
        <v>165</v>
      </c>
      <c r="C16" t="s">
        <v>29</v>
      </c>
      <c r="D16" t="s">
        <v>30</v>
      </c>
      <c r="E16" t="s">
        <v>33</v>
      </c>
      <c r="F16" t="s">
        <v>27</v>
      </c>
      <c r="G16">
        <v>4</v>
      </c>
      <c r="H16">
        <v>55000</v>
      </c>
      <c r="I16">
        <v>220000</v>
      </c>
      <c r="J16" t="s">
        <v>16</v>
      </c>
    </row>
    <row r="17" spans="1:10">
      <c r="A17">
        <v>1270</v>
      </c>
      <c r="B17" t="s">
        <v>232</v>
      </c>
      <c r="C17" t="s">
        <v>54</v>
      </c>
      <c r="D17" t="s">
        <v>23</v>
      </c>
      <c r="E17" t="s">
        <v>33</v>
      </c>
      <c r="F17" t="s">
        <v>27</v>
      </c>
      <c r="G17">
        <v>4</v>
      </c>
      <c r="H17">
        <v>55000</v>
      </c>
      <c r="I17">
        <v>220000</v>
      </c>
      <c r="J17" t="s">
        <v>16</v>
      </c>
    </row>
    <row r="18" spans="1:10">
      <c r="A18">
        <v>1314</v>
      </c>
      <c r="B18" t="s">
        <v>112</v>
      </c>
      <c r="C18" t="s">
        <v>71</v>
      </c>
      <c r="D18" t="s">
        <v>18</v>
      </c>
      <c r="E18" t="s">
        <v>33</v>
      </c>
      <c r="F18" t="s">
        <v>27</v>
      </c>
      <c r="G18">
        <v>4</v>
      </c>
      <c r="H18">
        <v>55000</v>
      </c>
      <c r="I18">
        <v>220000</v>
      </c>
      <c r="J18" t="s">
        <v>38</v>
      </c>
    </row>
    <row r="19" spans="1:10">
      <c r="A19">
        <v>1340</v>
      </c>
      <c r="B19" t="s">
        <v>242</v>
      </c>
      <c r="C19" t="s">
        <v>12</v>
      </c>
      <c r="D19" t="s">
        <v>30</v>
      </c>
      <c r="E19" t="s">
        <v>33</v>
      </c>
      <c r="F19" t="s">
        <v>27</v>
      </c>
      <c r="G19">
        <v>4</v>
      </c>
      <c r="H19">
        <v>55000</v>
      </c>
      <c r="I19">
        <v>220000</v>
      </c>
      <c r="J19" t="s">
        <v>34</v>
      </c>
    </row>
    <row r="20" spans="1:10">
      <c r="A20">
        <v>1365</v>
      </c>
      <c r="B20" t="s">
        <v>109</v>
      </c>
      <c r="C20" t="s">
        <v>54</v>
      </c>
      <c r="D20" t="s">
        <v>18</v>
      </c>
      <c r="E20" t="s">
        <v>33</v>
      </c>
      <c r="F20" t="s">
        <v>27</v>
      </c>
      <c r="G20">
        <v>4</v>
      </c>
      <c r="H20">
        <v>55000</v>
      </c>
      <c r="I20">
        <v>220000</v>
      </c>
      <c r="J20" t="s">
        <v>16</v>
      </c>
    </row>
    <row r="21" spans="1:10">
      <c r="A21">
        <v>1377</v>
      </c>
      <c r="B21" t="s">
        <v>268</v>
      </c>
      <c r="C21" t="s">
        <v>12</v>
      </c>
      <c r="D21" t="s">
        <v>18</v>
      </c>
      <c r="E21" t="s">
        <v>33</v>
      </c>
      <c r="F21" t="s">
        <v>27</v>
      </c>
      <c r="G21">
        <v>4</v>
      </c>
      <c r="H21">
        <v>55000</v>
      </c>
      <c r="I21">
        <v>220000</v>
      </c>
      <c r="J21" t="s">
        <v>16</v>
      </c>
    </row>
    <row r="22" spans="1:10">
      <c r="A22">
        <v>1446</v>
      </c>
      <c r="B22" t="s">
        <v>155</v>
      </c>
      <c r="C22" t="s">
        <v>54</v>
      </c>
      <c r="D22" t="s">
        <v>18</v>
      </c>
      <c r="E22" t="s">
        <v>33</v>
      </c>
      <c r="F22" t="s">
        <v>27</v>
      </c>
      <c r="G22">
        <v>4</v>
      </c>
      <c r="H22">
        <v>55000</v>
      </c>
      <c r="I22">
        <v>220000</v>
      </c>
      <c r="J22" t="s">
        <v>34</v>
      </c>
    </row>
    <row r="23" spans="1:10">
      <c r="A23">
        <v>1456</v>
      </c>
      <c r="B23" t="s">
        <v>235</v>
      </c>
      <c r="C23" t="s">
        <v>71</v>
      </c>
      <c r="D23" t="s">
        <v>30</v>
      </c>
      <c r="E23" t="s">
        <v>33</v>
      </c>
      <c r="F23" t="s">
        <v>27</v>
      </c>
      <c r="G23">
        <v>4</v>
      </c>
      <c r="H23">
        <v>55000</v>
      </c>
      <c r="I23">
        <v>220000</v>
      </c>
      <c r="J23" t="s">
        <v>38</v>
      </c>
    </row>
    <row r="24" spans="1:10">
      <c r="A24">
        <v>1480</v>
      </c>
      <c r="B24" t="s">
        <v>105</v>
      </c>
      <c r="C24" t="s">
        <v>71</v>
      </c>
      <c r="D24" t="s">
        <v>23</v>
      </c>
      <c r="E24" t="s">
        <v>33</v>
      </c>
      <c r="F24" t="s">
        <v>27</v>
      </c>
      <c r="G24">
        <v>4</v>
      </c>
      <c r="H24">
        <v>55000</v>
      </c>
      <c r="I24">
        <v>220000</v>
      </c>
      <c r="J24" t="s">
        <v>38</v>
      </c>
    </row>
    <row r="25" spans="1:10">
      <c r="A25">
        <v>1021</v>
      </c>
      <c r="B25" t="s">
        <v>58</v>
      </c>
      <c r="C25" t="s">
        <v>25</v>
      </c>
      <c r="D25" t="s">
        <v>30</v>
      </c>
      <c r="E25" t="s">
        <v>33</v>
      </c>
      <c r="F25" t="s">
        <v>27</v>
      </c>
      <c r="G25">
        <v>3</v>
      </c>
      <c r="H25">
        <v>55000</v>
      </c>
      <c r="I25">
        <v>165000</v>
      </c>
      <c r="J25" t="s">
        <v>34</v>
      </c>
    </row>
    <row r="26" spans="1:10">
      <c r="A26">
        <v>1096</v>
      </c>
      <c r="B26" t="s">
        <v>125</v>
      </c>
      <c r="C26" t="s">
        <v>25</v>
      </c>
      <c r="D26" t="s">
        <v>13</v>
      </c>
      <c r="E26" t="s">
        <v>33</v>
      </c>
      <c r="F26" t="s">
        <v>27</v>
      </c>
      <c r="G26">
        <v>3</v>
      </c>
      <c r="H26">
        <v>55000</v>
      </c>
      <c r="I26">
        <v>165000</v>
      </c>
      <c r="J26" t="s">
        <v>16</v>
      </c>
    </row>
    <row r="27" spans="1:10">
      <c r="A27">
        <v>1119</v>
      </c>
      <c r="B27" t="s">
        <v>140</v>
      </c>
      <c r="C27" t="s">
        <v>60</v>
      </c>
      <c r="D27" t="s">
        <v>18</v>
      </c>
      <c r="E27" t="s">
        <v>33</v>
      </c>
      <c r="F27" t="s">
        <v>27</v>
      </c>
      <c r="G27">
        <v>3</v>
      </c>
      <c r="H27">
        <v>55000</v>
      </c>
      <c r="I27">
        <v>165000</v>
      </c>
      <c r="J27" t="s">
        <v>20</v>
      </c>
    </row>
    <row r="28" spans="1:10">
      <c r="A28">
        <v>1136</v>
      </c>
      <c r="B28" t="s">
        <v>152</v>
      </c>
      <c r="C28" t="s">
        <v>47</v>
      </c>
      <c r="D28" t="s">
        <v>23</v>
      </c>
      <c r="E28" t="s">
        <v>33</v>
      </c>
      <c r="F28" t="s">
        <v>27</v>
      </c>
      <c r="G28">
        <v>3</v>
      </c>
      <c r="H28">
        <v>55000</v>
      </c>
      <c r="I28">
        <v>165000</v>
      </c>
      <c r="J28" t="s">
        <v>16</v>
      </c>
    </row>
    <row r="29" spans="1:10">
      <c r="A29">
        <v>1146</v>
      </c>
      <c r="B29" t="s">
        <v>134</v>
      </c>
      <c r="C29" t="s">
        <v>42</v>
      </c>
      <c r="D29" t="s">
        <v>30</v>
      </c>
      <c r="E29" t="s">
        <v>33</v>
      </c>
      <c r="F29" t="s">
        <v>27</v>
      </c>
      <c r="G29">
        <v>3</v>
      </c>
      <c r="H29">
        <v>55000</v>
      </c>
      <c r="I29">
        <v>165000</v>
      </c>
      <c r="J29" t="s">
        <v>38</v>
      </c>
    </row>
    <row r="30" spans="1:10">
      <c r="A30">
        <v>1177</v>
      </c>
      <c r="B30" t="s">
        <v>180</v>
      </c>
      <c r="C30" t="s">
        <v>60</v>
      </c>
      <c r="D30" t="s">
        <v>30</v>
      </c>
      <c r="E30" t="s">
        <v>33</v>
      </c>
      <c r="F30" t="s">
        <v>27</v>
      </c>
      <c r="G30">
        <v>3</v>
      </c>
      <c r="H30">
        <v>55000</v>
      </c>
      <c r="I30">
        <v>165000</v>
      </c>
      <c r="J30" t="s">
        <v>38</v>
      </c>
    </row>
    <row r="31" spans="1:10">
      <c r="A31">
        <v>1201</v>
      </c>
      <c r="B31" t="s">
        <v>195</v>
      </c>
      <c r="C31" t="s">
        <v>25</v>
      </c>
      <c r="D31" t="s">
        <v>30</v>
      </c>
      <c r="E31" t="s">
        <v>33</v>
      </c>
      <c r="F31" t="s">
        <v>27</v>
      </c>
      <c r="G31">
        <v>3</v>
      </c>
      <c r="H31">
        <v>55000</v>
      </c>
      <c r="I31">
        <v>165000</v>
      </c>
      <c r="J31" t="s">
        <v>38</v>
      </c>
    </row>
    <row r="32" spans="1:10">
      <c r="A32">
        <v>1272</v>
      </c>
      <c r="B32" t="s">
        <v>148</v>
      </c>
      <c r="C32" t="s">
        <v>25</v>
      </c>
      <c r="D32" t="s">
        <v>23</v>
      </c>
      <c r="E32" t="s">
        <v>33</v>
      </c>
      <c r="F32" t="s">
        <v>27</v>
      </c>
      <c r="G32">
        <v>3</v>
      </c>
      <c r="H32">
        <v>55000</v>
      </c>
      <c r="I32">
        <v>165000</v>
      </c>
      <c r="J32" t="s">
        <v>34</v>
      </c>
    </row>
    <row r="33" spans="1:10">
      <c r="A33">
        <v>1275</v>
      </c>
      <c r="B33" t="s">
        <v>96</v>
      </c>
      <c r="C33" t="s">
        <v>25</v>
      </c>
      <c r="D33" t="s">
        <v>30</v>
      </c>
      <c r="E33" t="s">
        <v>33</v>
      </c>
      <c r="F33" t="s">
        <v>27</v>
      </c>
      <c r="G33">
        <v>3</v>
      </c>
      <c r="H33">
        <v>55000</v>
      </c>
      <c r="I33">
        <v>165000</v>
      </c>
      <c r="J33" t="s">
        <v>16</v>
      </c>
    </row>
    <row r="34" spans="1:10">
      <c r="A34">
        <v>1284</v>
      </c>
      <c r="B34" t="s">
        <v>238</v>
      </c>
      <c r="C34" t="s">
        <v>22</v>
      </c>
      <c r="D34" t="s">
        <v>13</v>
      </c>
      <c r="E34" t="s">
        <v>33</v>
      </c>
      <c r="F34" t="s">
        <v>27</v>
      </c>
      <c r="G34">
        <v>3</v>
      </c>
      <c r="H34">
        <v>55000</v>
      </c>
      <c r="I34">
        <v>165000</v>
      </c>
      <c r="J34" t="s">
        <v>16</v>
      </c>
    </row>
    <row r="35" spans="1:10">
      <c r="A35">
        <v>1305</v>
      </c>
      <c r="B35" t="s">
        <v>245</v>
      </c>
      <c r="C35" t="s">
        <v>22</v>
      </c>
      <c r="D35" t="s">
        <v>23</v>
      </c>
      <c r="E35" t="s">
        <v>33</v>
      </c>
      <c r="F35" t="s">
        <v>27</v>
      </c>
      <c r="G35">
        <v>3</v>
      </c>
      <c r="H35">
        <v>55000</v>
      </c>
      <c r="I35">
        <v>165000</v>
      </c>
      <c r="J35" t="s">
        <v>38</v>
      </c>
    </row>
    <row r="36" spans="1:10">
      <c r="A36">
        <v>1307</v>
      </c>
      <c r="B36" t="s">
        <v>230</v>
      </c>
      <c r="C36" t="s">
        <v>12</v>
      </c>
      <c r="D36" t="s">
        <v>30</v>
      </c>
      <c r="E36" t="s">
        <v>33</v>
      </c>
      <c r="F36" t="s">
        <v>27</v>
      </c>
      <c r="G36">
        <v>3</v>
      </c>
      <c r="H36">
        <v>55000</v>
      </c>
      <c r="I36">
        <v>165000</v>
      </c>
      <c r="J36" t="s">
        <v>38</v>
      </c>
    </row>
    <row r="37" spans="1:10">
      <c r="A37">
        <v>1352</v>
      </c>
      <c r="B37" t="s">
        <v>260</v>
      </c>
      <c r="C37" t="s">
        <v>54</v>
      </c>
      <c r="D37" t="s">
        <v>23</v>
      </c>
      <c r="E37" t="s">
        <v>33</v>
      </c>
      <c r="F37" t="s">
        <v>27</v>
      </c>
      <c r="G37">
        <v>3</v>
      </c>
      <c r="H37">
        <v>55000</v>
      </c>
      <c r="I37">
        <v>165000</v>
      </c>
      <c r="J37" t="s">
        <v>20</v>
      </c>
    </row>
    <row r="38" spans="1:10">
      <c r="A38">
        <v>1408</v>
      </c>
      <c r="B38" t="s">
        <v>188</v>
      </c>
      <c r="C38" t="s">
        <v>22</v>
      </c>
      <c r="D38" t="s">
        <v>30</v>
      </c>
      <c r="E38" t="s">
        <v>33</v>
      </c>
      <c r="F38" t="s">
        <v>27</v>
      </c>
      <c r="G38">
        <v>3</v>
      </c>
      <c r="H38">
        <v>55000</v>
      </c>
      <c r="I38">
        <v>165000</v>
      </c>
      <c r="J38" t="s">
        <v>38</v>
      </c>
    </row>
    <row r="39" spans="1:10">
      <c r="A39">
        <v>1414</v>
      </c>
      <c r="B39" t="s">
        <v>108</v>
      </c>
      <c r="C39" t="s">
        <v>54</v>
      </c>
      <c r="D39" t="s">
        <v>23</v>
      </c>
      <c r="E39" t="s">
        <v>33</v>
      </c>
      <c r="F39" t="s">
        <v>27</v>
      </c>
      <c r="G39">
        <v>3</v>
      </c>
      <c r="H39">
        <v>55000</v>
      </c>
      <c r="I39">
        <v>165000</v>
      </c>
      <c r="J39" t="s">
        <v>38</v>
      </c>
    </row>
    <row r="40" spans="1:10">
      <c r="A40">
        <v>1421</v>
      </c>
      <c r="B40" t="s">
        <v>128</v>
      </c>
      <c r="C40" t="s">
        <v>54</v>
      </c>
      <c r="D40" t="s">
        <v>23</v>
      </c>
      <c r="E40" t="s">
        <v>33</v>
      </c>
      <c r="F40" t="s">
        <v>27</v>
      </c>
      <c r="G40">
        <v>3</v>
      </c>
      <c r="H40">
        <v>55000</v>
      </c>
      <c r="I40">
        <v>165000</v>
      </c>
      <c r="J40" t="s">
        <v>16</v>
      </c>
    </row>
    <row r="41" spans="1:10">
      <c r="A41">
        <v>1427</v>
      </c>
      <c r="B41" t="s">
        <v>227</v>
      </c>
      <c r="C41" t="s">
        <v>22</v>
      </c>
      <c r="D41" t="s">
        <v>18</v>
      </c>
      <c r="E41" t="s">
        <v>33</v>
      </c>
      <c r="F41" t="s">
        <v>27</v>
      </c>
      <c r="G41">
        <v>3</v>
      </c>
      <c r="H41">
        <v>55000</v>
      </c>
      <c r="I41">
        <v>165000</v>
      </c>
      <c r="J41" t="s">
        <v>38</v>
      </c>
    </row>
    <row r="42" spans="1:10">
      <c r="A42">
        <v>1454</v>
      </c>
      <c r="B42" t="s">
        <v>64</v>
      </c>
      <c r="C42" t="s">
        <v>47</v>
      </c>
      <c r="D42" t="s">
        <v>18</v>
      </c>
      <c r="E42" t="s">
        <v>33</v>
      </c>
      <c r="F42" t="s">
        <v>27</v>
      </c>
      <c r="G42">
        <v>3</v>
      </c>
      <c r="H42">
        <v>55000</v>
      </c>
      <c r="I42">
        <v>165000</v>
      </c>
      <c r="J42" t="s">
        <v>38</v>
      </c>
    </row>
    <row r="43" spans="1:10">
      <c r="A43">
        <v>1467</v>
      </c>
      <c r="B43" t="s">
        <v>111</v>
      </c>
      <c r="C43" t="s">
        <v>12</v>
      </c>
      <c r="D43" t="s">
        <v>30</v>
      </c>
      <c r="E43" t="s">
        <v>33</v>
      </c>
      <c r="F43" t="s">
        <v>27</v>
      </c>
      <c r="G43">
        <v>3</v>
      </c>
      <c r="H43">
        <v>55000</v>
      </c>
      <c r="I43">
        <v>165000</v>
      </c>
      <c r="J43" t="s">
        <v>16</v>
      </c>
    </row>
    <row r="44" spans="1:10">
      <c r="A44">
        <v>1027</v>
      </c>
      <c r="B44" t="s">
        <v>65</v>
      </c>
      <c r="C44" t="s">
        <v>29</v>
      </c>
      <c r="D44" t="s">
        <v>13</v>
      </c>
      <c r="E44" t="s">
        <v>33</v>
      </c>
      <c r="F44" t="s">
        <v>27</v>
      </c>
      <c r="G44">
        <v>2</v>
      </c>
      <c r="H44">
        <v>55000</v>
      </c>
      <c r="I44">
        <v>110000</v>
      </c>
      <c r="J44" t="s">
        <v>16</v>
      </c>
    </row>
    <row r="45" spans="1:10">
      <c r="A45">
        <v>1052</v>
      </c>
      <c r="B45" t="s">
        <v>90</v>
      </c>
      <c r="C45" t="s">
        <v>47</v>
      </c>
      <c r="D45" t="s">
        <v>18</v>
      </c>
      <c r="E45" t="s">
        <v>33</v>
      </c>
      <c r="F45" t="s">
        <v>27</v>
      </c>
      <c r="G45">
        <v>2</v>
      </c>
      <c r="H45">
        <v>55000</v>
      </c>
      <c r="I45">
        <v>110000</v>
      </c>
      <c r="J45" t="s">
        <v>38</v>
      </c>
    </row>
    <row r="46" spans="1:10">
      <c r="A46">
        <v>1066</v>
      </c>
      <c r="B46" t="s">
        <v>100</v>
      </c>
      <c r="C46" t="s">
        <v>54</v>
      </c>
      <c r="D46" t="s">
        <v>13</v>
      </c>
      <c r="E46" t="s">
        <v>33</v>
      </c>
      <c r="F46" t="s">
        <v>27</v>
      </c>
      <c r="G46">
        <v>2</v>
      </c>
      <c r="H46">
        <v>55000</v>
      </c>
      <c r="I46">
        <v>110000</v>
      </c>
      <c r="J46" t="s">
        <v>38</v>
      </c>
    </row>
    <row r="47" spans="1:10">
      <c r="A47">
        <v>1069</v>
      </c>
      <c r="B47" t="s">
        <v>103</v>
      </c>
      <c r="C47" t="s">
        <v>32</v>
      </c>
      <c r="D47" t="s">
        <v>13</v>
      </c>
      <c r="E47" t="s">
        <v>33</v>
      </c>
      <c r="F47" t="s">
        <v>27</v>
      </c>
      <c r="G47">
        <v>2</v>
      </c>
      <c r="H47">
        <v>55000</v>
      </c>
      <c r="I47">
        <v>110000</v>
      </c>
      <c r="J47" t="s">
        <v>38</v>
      </c>
    </row>
    <row r="48" spans="1:10">
      <c r="A48">
        <v>1089</v>
      </c>
      <c r="B48" t="s">
        <v>104</v>
      </c>
      <c r="C48" t="s">
        <v>54</v>
      </c>
      <c r="D48" t="s">
        <v>13</v>
      </c>
      <c r="E48" t="s">
        <v>33</v>
      </c>
      <c r="F48" t="s">
        <v>27</v>
      </c>
      <c r="G48">
        <v>2</v>
      </c>
      <c r="H48">
        <v>55000</v>
      </c>
      <c r="I48">
        <v>110000</v>
      </c>
      <c r="J48" t="s">
        <v>34</v>
      </c>
    </row>
    <row r="49" spans="1:10">
      <c r="A49">
        <v>1168</v>
      </c>
      <c r="B49" t="s">
        <v>174</v>
      </c>
      <c r="C49" t="s">
        <v>12</v>
      </c>
      <c r="D49" t="s">
        <v>18</v>
      </c>
      <c r="E49" t="s">
        <v>33</v>
      </c>
      <c r="F49" t="s">
        <v>27</v>
      </c>
      <c r="G49">
        <v>2</v>
      </c>
      <c r="H49">
        <v>55000</v>
      </c>
      <c r="I49">
        <v>110000</v>
      </c>
      <c r="J49" t="s">
        <v>38</v>
      </c>
    </row>
    <row r="50" spans="1:10">
      <c r="A50">
        <v>1204</v>
      </c>
      <c r="B50" t="s">
        <v>198</v>
      </c>
      <c r="C50" t="s">
        <v>29</v>
      </c>
      <c r="D50" t="s">
        <v>30</v>
      </c>
      <c r="E50" t="s">
        <v>33</v>
      </c>
      <c r="F50" t="s">
        <v>27</v>
      </c>
      <c r="G50">
        <v>2</v>
      </c>
      <c r="H50">
        <v>55000</v>
      </c>
      <c r="I50">
        <v>110000</v>
      </c>
      <c r="J50" t="s">
        <v>38</v>
      </c>
    </row>
    <row r="51" spans="1:10">
      <c r="A51">
        <v>1206</v>
      </c>
      <c r="B51" t="s">
        <v>199</v>
      </c>
      <c r="C51" t="s">
        <v>22</v>
      </c>
      <c r="D51" t="s">
        <v>23</v>
      </c>
      <c r="E51" t="s">
        <v>33</v>
      </c>
      <c r="F51" t="s">
        <v>27</v>
      </c>
      <c r="G51">
        <v>2</v>
      </c>
      <c r="H51">
        <v>55000</v>
      </c>
      <c r="I51">
        <v>110000</v>
      </c>
      <c r="J51" t="s">
        <v>20</v>
      </c>
    </row>
    <row r="52" spans="1:10">
      <c r="A52">
        <v>1237</v>
      </c>
      <c r="B52" t="s">
        <v>46</v>
      </c>
      <c r="C52" t="s">
        <v>42</v>
      </c>
      <c r="D52" t="s">
        <v>30</v>
      </c>
      <c r="E52" t="s">
        <v>33</v>
      </c>
      <c r="F52" t="s">
        <v>27</v>
      </c>
      <c r="G52">
        <v>2</v>
      </c>
      <c r="H52">
        <v>55000</v>
      </c>
      <c r="I52">
        <v>110000</v>
      </c>
      <c r="J52" t="s">
        <v>20</v>
      </c>
    </row>
    <row r="53" spans="1:10">
      <c r="A53">
        <v>1243</v>
      </c>
      <c r="B53" t="s">
        <v>97</v>
      </c>
      <c r="C53" t="s">
        <v>60</v>
      </c>
      <c r="D53" t="s">
        <v>23</v>
      </c>
      <c r="E53" t="s">
        <v>33</v>
      </c>
      <c r="F53" t="s">
        <v>27</v>
      </c>
      <c r="G53">
        <v>2</v>
      </c>
      <c r="H53">
        <v>55000</v>
      </c>
      <c r="I53">
        <v>110000</v>
      </c>
      <c r="J53" t="s">
        <v>38</v>
      </c>
    </row>
    <row r="54" spans="1:10">
      <c r="A54">
        <v>1279</v>
      </c>
      <c r="B54" t="s">
        <v>235</v>
      </c>
      <c r="C54" t="s">
        <v>12</v>
      </c>
      <c r="D54" t="s">
        <v>30</v>
      </c>
      <c r="E54" t="s">
        <v>33</v>
      </c>
      <c r="F54" t="s">
        <v>27</v>
      </c>
      <c r="G54">
        <v>2</v>
      </c>
      <c r="H54">
        <v>55000</v>
      </c>
      <c r="I54">
        <v>110000</v>
      </c>
      <c r="J54" t="s">
        <v>16</v>
      </c>
    </row>
    <row r="55" spans="1:10">
      <c r="A55">
        <v>1397</v>
      </c>
      <c r="B55" t="s">
        <v>199</v>
      </c>
      <c r="C55" t="s">
        <v>25</v>
      </c>
      <c r="D55" t="s">
        <v>23</v>
      </c>
      <c r="E55" t="s">
        <v>33</v>
      </c>
      <c r="F55" t="s">
        <v>27</v>
      </c>
      <c r="G55">
        <v>2</v>
      </c>
      <c r="H55">
        <v>55000</v>
      </c>
      <c r="I55">
        <v>110000</v>
      </c>
      <c r="J55" t="s">
        <v>20</v>
      </c>
    </row>
    <row r="56" spans="1:10">
      <c r="A56">
        <v>1403</v>
      </c>
      <c r="B56" t="s">
        <v>229</v>
      </c>
      <c r="C56" t="s">
        <v>32</v>
      </c>
      <c r="D56" t="s">
        <v>23</v>
      </c>
      <c r="E56" t="s">
        <v>33</v>
      </c>
      <c r="F56" t="s">
        <v>27</v>
      </c>
      <c r="G56">
        <v>2</v>
      </c>
      <c r="H56">
        <v>55000</v>
      </c>
      <c r="I56">
        <v>110000</v>
      </c>
      <c r="J56" t="s">
        <v>38</v>
      </c>
    </row>
    <row r="57" spans="1:10">
      <c r="A57">
        <v>1060</v>
      </c>
      <c r="B57" t="s">
        <v>94</v>
      </c>
      <c r="C57" t="s">
        <v>12</v>
      </c>
      <c r="D57" t="s">
        <v>23</v>
      </c>
      <c r="E57" t="s">
        <v>40</v>
      </c>
      <c r="F57" t="s">
        <v>27</v>
      </c>
      <c r="G57">
        <v>5</v>
      </c>
      <c r="H57">
        <v>20000</v>
      </c>
      <c r="I57">
        <v>100000</v>
      </c>
      <c r="J57" t="s">
        <v>16</v>
      </c>
    </row>
    <row r="58" spans="1:10">
      <c r="A58">
        <v>1079</v>
      </c>
      <c r="B58" t="s">
        <v>112</v>
      </c>
      <c r="C58" t="s">
        <v>25</v>
      </c>
      <c r="D58" t="s">
        <v>23</v>
      </c>
      <c r="E58" t="s">
        <v>40</v>
      </c>
      <c r="F58" t="s">
        <v>27</v>
      </c>
      <c r="G58">
        <v>5</v>
      </c>
      <c r="H58">
        <v>20000</v>
      </c>
      <c r="I58">
        <v>100000</v>
      </c>
      <c r="J58" t="s">
        <v>16</v>
      </c>
    </row>
    <row r="59" spans="1:10">
      <c r="A59">
        <v>1108</v>
      </c>
      <c r="B59" t="s">
        <v>134</v>
      </c>
      <c r="C59" t="s">
        <v>25</v>
      </c>
      <c r="D59" t="s">
        <v>30</v>
      </c>
      <c r="E59" t="s">
        <v>40</v>
      </c>
      <c r="F59" t="s">
        <v>27</v>
      </c>
      <c r="G59">
        <v>5</v>
      </c>
      <c r="H59">
        <v>20000</v>
      </c>
      <c r="I59">
        <v>100000</v>
      </c>
      <c r="J59" t="s">
        <v>38</v>
      </c>
    </row>
    <row r="60" spans="1:10">
      <c r="A60">
        <v>1241</v>
      </c>
      <c r="B60" t="s">
        <v>187</v>
      </c>
      <c r="C60" t="s">
        <v>12</v>
      </c>
      <c r="D60" t="s">
        <v>18</v>
      </c>
      <c r="E60" t="s">
        <v>40</v>
      </c>
      <c r="F60" t="s">
        <v>27</v>
      </c>
      <c r="G60">
        <v>5</v>
      </c>
      <c r="H60">
        <v>20000</v>
      </c>
      <c r="I60">
        <v>100000</v>
      </c>
      <c r="J60" t="s">
        <v>34</v>
      </c>
    </row>
    <row r="61" spans="1:10">
      <c r="A61">
        <v>1264</v>
      </c>
      <c r="B61" t="s">
        <v>70</v>
      </c>
      <c r="C61" t="s">
        <v>32</v>
      </c>
      <c r="D61" t="s">
        <v>18</v>
      </c>
      <c r="E61" t="s">
        <v>40</v>
      </c>
      <c r="F61" t="s">
        <v>27</v>
      </c>
      <c r="G61">
        <v>5</v>
      </c>
      <c r="H61">
        <v>20000</v>
      </c>
      <c r="I61">
        <v>100000</v>
      </c>
      <c r="J61" t="s">
        <v>20</v>
      </c>
    </row>
    <row r="62" spans="1:10">
      <c r="A62">
        <v>1271</v>
      </c>
      <c r="B62" t="s">
        <v>143</v>
      </c>
      <c r="C62" t="s">
        <v>60</v>
      </c>
      <c r="D62" t="s">
        <v>30</v>
      </c>
      <c r="E62" t="s">
        <v>40</v>
      </c>
      <c r="F62" t="s">
        <v>27</v>
      </c>
      <c r="G62">
        <v>5</v>
      </c>
      <c r="H62">
        <v>20000</v>
      </c>
      <c r="I62">
        <v>100000</v>
      </c>
      <c r="J62" t="s">
        <v>38</v>
      </c>
    </row>
    <row r="63" spans="1:10">
      <c r="A63">
        <v>1283</v>
      </c>
      <c r="B63" t="s">
        <v>135</v>
      </c>
      <c r="C63" t="s">
        <v>54</v>
      </c>
      <c r="D63" t="s">
        <v>18</v>
      </c>
      <c r="E63" t="s">
        <v>40</v>
      </c>
      <c r="F63" t="s">
        <v>27</v>
      </c>
      <c r="G63">
        <v>5</v>
      </c>
      <c r="H63">
        <v>20000</v>
      </c>
      <c r="I63">
        <v>100000</v>
      </c>
      <c r="J63" t="s">
        <v>16</v>
      </c>
    </row>
    <row r="64" spans="1:10">
      <c r="A64">
        <v>1289</v>
      </c>
      <c r="B64" t="s">
        <v>108</v>
      </c>
      <c r="C64" t="s">
        <v>12</v>
      </c>
      <c r="D64" t="s">
        <v>18</v>
      </c>
      <c r="E64" t="s">
        <v>40</v>
      </c>
      <c r="F64" t="s">
        <v>27</v>
      </c>
      <c r="G64">
        <v>5</v>
      </c>
      <c r="H64">
        <v>20000</v>
      </c>
      <c r="I64">
        <v>100000</v>
      </c>
      <c r="J64" t="s">
        <v>38</v>
      </c>
    </row>
    <row r="65" spans="1:10">
      <c r="A65">
        <v>1290</v>
      </c>
      <c r="B65" t="s">
        <v>98</v>
      </c>
      <c r="C65" t="s">
        <v>71</v>
      </c>
      <c r="D65" t="s">
        <v>23</v>
      </c>
      <c r="E65" t="s">
        <v>40</v>
      </c>
      <c r="F65" t="s">
        <v>27</v>
      </c>
      <c r="G65">
        <v>5</v>
      </c>
      <c r="H65">
        <v>20000</v>
      </c>
      <c r="I65">
        <v>100000</v>
      </c>
      <c r="J65" t="s">
        <v>38</v>
      </c>
    </row>
    <row r="66" spans="1:10">
      <c r="A66">
        <v>1300</v>
      </c>
      <c r="B66" t="s">
        <v>242</v>
      </c>
      <c r="C66" t="s">
        <v>32</v>
      </c>
      <c r="D66" t="s">
        <v>23</v>
      </c>
      <c r="E66" t="s">
        <v>40</v>
      </c>
      <c r="F66" t="s">
        <v>27</v>
      </c>
      <c r="G66">
        <v>5</v>
      </c>
      <c r="H66">
        <v>20000</v>
      </c>
      <c r="I66">
        <v>100000</v>
      </c>
      <c r="J66" t="s">
        <v>34</v>
      </c>
    </row>
    <row r="67" spans="1:10">
      <c r="A67">
        <v>1372</v>
      </c>
      <c r="B67" t="s">
        <v>138</v>
      </c>
      <c r="C67" t="s">
        <v>12</v>
      </c>
      <c r="D67" t="s">
        <v>23</v>
      </c>
      <c r="E67" t="s">
        <v>40</v>
      </c>
      <c r="F67" t="s">
        <v>27</v>
      </c>
      <c r="G67">
        <v>5</v>
      </c>
      <c r="H67">
        <v>20000</v>
      </c>
      <c r="I67">
        <v>100000</v>
      </c>
      <c r="J67" t="s">
        <v>34</v>
      </c>
    </row>
    <row r="68" spans="1:10">
      <c r="A68">
        <v>1382</v>
      </c>
      <c r="B68" t="s">
        <v>271</v>
      </c>
      <c r="C68" t="s">
        <v>25</v>
      </c>
      <c r="D68" t="s">
        <v>18</v>
      </c>
      <c r="E68" t="s">
        <v>40</v>
      </c>
      <c r="F68" t="s">
        <v>27</v>
      </c>
      <c r="G68">
        <v>5</v>
      </c>
      <c r="H68">
        <v>20000</v>
      </c>
      <c r="I68">
        <v>100000</v>
      </c>
      <c r="J68" t="s">
        <v>34</v>
      </c>
    </row>
    <row r="69" spans="1:10">
      <c r="A69">
        <v>1462</v>
      </c>
      <c r="B69" t="s">
        <v>299</v>
      </c>
      <c r="C69" t="s">
        <v>22</v>
      </c>
      <c r="D69" t="s">
        <v>23</v>
      </c>
      <c r="E69" t="s">
        <v>40</v>
      </c>
      <c r="F69" t="s">
        <v>27</v>
      </c>
      <c r="G69">
        <v>5</v>
      </c>
      <c r="H69">
        <v>20000</v>
      </c>
      <c r="I69">
        <v>100000</v>
      </c>
      <c r="J69" t="s">
        <v>20</v>
      </c>
    </row>
    <row r="70" spans="1:10">
      <c r="A70">
        <v>1493</v>
      </c>
      <c r="B70" t="s">
        <v>196</v>
      </c>
      <c r="C70" t="s">
        <v>42</v>
      </c>
      <c r="D70" t="s">
        <v>18</v>
      </c>
      <c r="E70" t="s">
        <v>40</v>
      </c>
      <c r="F70" t="s">
        <v>27</v>
      </c>
      <c r="G70">
        <v>5</v>
      </c>
      <c r="H70">
        <v>20000</v>
      </c>
      <c r="I70">
        <v>100000</v>
      </c>
      <c r="J70" t="s">
        <v>38</v>
      </c>
    </row>
    <row r="71" spans="1:10">
      <c r="A71">
        <v>1049</v>
      </c>
      <c r="B71" t="s">
        <v>87</v>
      </c>
      <c r="C71" t="s">
        <v>42</v>
      </c>
      <c r="D71" t="s">
        <v>30</v>
      </c>
      <c r="E71" t="s">
        <v>40</v>
      </c>
      <c r="F71" t="s">
        <v>27</v>
      </c>
      <c r="G71">
        <v>4</v>
      </c>
      <c r="H71">
        <v>20000</v>
      </c>
      <c r="I71">
        <v>80000</v>
      </c>
      <c r="J71" t="s">
        <v>16</v>
      </c>
    </row>
    <row r="72" spans="1:10">
      <c r="A72">
        <v>1084</v>
      </c>
      <c r="B72" t="s">
        <v>86</v>
      </c>
      <c r="C72" t="s">
        <v>42</v>
      </c>
      <c r="D72" t="s">
        <v>18</v>
      </c>
      <c r="E72" t="s">
        <v>40</v>
      </c>
      <c r="F72" t="s">
        <v>27</v>
      </c>
      <c r="G72">
        <v>4</v>
      </c>
      <c r="H72">
        <v>20000</v>
      </c>
      <c r="I72">
        <v>80000</v>
      </c>
      <c r="J72" t="s">
        <v>38</v>
      </c>
    </row>
    <row r="73" spans="1:10">
      <c r="A73">
        <v>1106</v>
      </c>
      <c r="B73" t="s">
        <v>132</v>
      </c>
      <c r="C73" t="s">
        <v>12</v>
      </c>
      <c r="D73" t="s">
        <v>18</v>
      </c>
      <c r="E73" t="s">
        <v>40</v>
      </c>
      <c r="F73" t="s">
        <v>27</v>
      </c>
      <c r="G73">
        <v>4</v>
      </c>
      <c r="H73">
        <v>20000</v>
      </c>
      <c r="I73">
        <v>80000</v>
      </c>
      <c r="J73" t="s">
        <v>20</v>
      </c>
    </row>
    <row r="74" spans="1:10">
      <c r="A74">
        <v>1111</v>
      </c>
      <c r="B74" t="s">
        <v>137</v>
      </c>
      <c r="C74" t="s">
        <v>25</v>
      </c>
      <c r="D74" t="s">
        <v>30</v>
      </c>
      <c r="E74" t="s">
        <v>40</v>
      </c>
      <c r="F74" t="s">
        <v>27</v>
      </c>
      <c r="G74">
        <v>4</v>
      </c>
      <c r="H74">
        <v>20000</v>
      </c>
      <c r="I74">
        <v>80000</v>
      </c>
      <c r="J74" t="s">
        <v>20</v>
      </c>
    </row>
    <row r="75" spans="1:10">
      <c r="A75">
        <v>1142</v>
      </c>
      <c r="B75" t="s">
        <v>101</v>
      </c>
      <c r="C75" t="s">
        <v>60</v>
      </c>
      <c r="D75" t="s">
        <v>23</v>
      </c>
      <c r="E75" t="s">
        <v>40</v>
      </c>
      <c r="F75" t="s">
        <v>27</v>
      </c>
      <c r="G75">
        <v>4</v>
      </c>
      <c r="H75">
        <v>20000</v>
      </c>
      <c r="I75">
        <v>80000</v>
      </c>
      <c r="J75" t="s">
        <v>38</v>
      </c>
    </row>
    <row r="76" spans="1:10">
      <c r="A76">
        <v>1153</v>
      </c>
      <c r="B76" t="s">
        <v>164</v>
      </c>
      <c r="C76" t="s">
        <v>32</v>
      </c>
      <c r="D76" t="s">
        <v>18</v>
      </c>
      <c r="E76" t="s">
        <v>40</v>
      </c>
      <c r="F76" t="s">
        <v>27</v>
      </c>
      <c r="G76">
        <v>4</v>
      </c>
      <c r="H76">
        <v>20000</v>
      </c>
      <c r="I76">
        <v>80000</v>
      </c>
      <c r="J76" t="s">
        <v>34</v>
      </c>
    </row>
    <row r="77" spans="1:10">
      <c r="A77">
        <v>1159</v>
      </c>
      <c r="B77" t="s">
        <v>96</v>
      </c>
      <c r="C77" t="s">
        <v>12</v>
      </c>
      <c r="D77" t="s">
        <v>23</v>
      </c>
      <c r="E77" t="s">
        <v>40</v>
      </c>
      <c r="F77" t="s">
        <v>27</v>
      </c>
      <c r="G77">
        <v>4</v>
      </c>
      <c r="H77">
        <v>20000</v>
      </c>
      <c r="I77">
        <v>80000</v>
      </c>
      <c r="J77" t="s">
        <v>20</v>
      </c>
    </row>
    <row r="78" spans="1:10">
      <c r="A78">
        <v>1256</v>
      </c>
      <c r="B78" t="s">
        <v>109</v>
      </c>
      <c r="C78" t="s">
        <v>12</v>
      </c>
      <c r="D78" t="s">
        <v>18</v>
      </c>
      <c r="E78" t="s">
        <v>40</v>
      </c>
      <c r="F78" t="s">
        <v>27</v>
      </c>
      <c r="G78">
        <v>4</v>
      </c>
      <c r="H78">
        <v>20000</v>
      </c>
      <c r="I78">
        <v>80000</v>
      </c>
      <c r="J78" t="s">
        <v>34</v>
      </c>
    </row>
    <row r="79" spans="1:10">
      <c r="A79">
        <v>1265</v>
      </c>
      <c r="B79" t="s">
        <v>229</v>
      </c>
      <c r="C79" t="s">
        <v>29</v>
      </c>
      <c r="D79" t="s">
        <v>13</v>
      </c>
      <c r="E79" t="s">
        <v>40</v>
      </c>
      <c r="F79" t="s">
        <v>27</v>
      </c>
      <c r="G79">
        <v>4</v>
      </c>
      <c r="H79">
        <v>20000</v>
      </c>
      <c r="I79">
        <v>80000</v>
      </c>
      <c r="J79" t="s">
        <v>20</v>
      </c>
    </row>
    <row r="80" spans="1:10">
      <c r="A80">
        <v>1276</v>
      </c>
      <c r="B80" t="s">
        <v>137</v>
      </c>
      <c r="C80" t="s">
        <v>22</v>
      </c>
      <c r="D80" t="s">
        <v>13</v>
      </c>
      <c r="E80" t="s">
        <v>40</v>
      </c>
      <c r="F80" t="s">
        <v>27</v>
      </c>
      <c r="G80">
        <v>4</v>
      </c>
      <c r="H80">
        <v>20000</v>
      </c>
      <c r="I80">
        <v>80000</v>
      </c>
      <c r="J80" t="s">
        <v>20</v>
      </c>
    </row>
    <row r="81" spans="1:10">
      <c r="A81">
        <v>1309</v>
      </c>
      <c r="B81" t="s">
        <v>179</v>
      </c>
      <c r="C81" t="s">
        <v>47</v>
      </c>
      <c r="D81" t="s">
        <v>30</v>
      </c>
      <c r="E81" t="s">
        <v>40</v>
      </c>
      <c r="F81" t="s">
        <v>27</v>
      </c>
      <c r="G81">
        <v>4</v>
      </c>
      <c r="H81">
        <v>20000</v>
      </c>
      <c r="I81">
        <v>80000</v>
      </c>
      <c r="J81" t="s">
        <v>20</v>
      </c>
    </row>
    <row r="82" spans="1:10">
      <c r="A82">
        <v>1317</v>
      </c>
      <c r="B82" t="s">
        <v>182</v>
      </c>
      <c r="C82" t="s">
        <v>12</v>
      </c>
      <c r="D82" t="s">
        <v>18</v>
      </c>
      <c r="E82" t="s">
        <v>40</v>
      </c>
      <c r="F82" t="s">
        <v>27</v>
      </c>
      <c r="G82">
        <v>4</v>
      </c>
      <c r="H82">
        <v>20000</v>
      </c>
      <c r="I82">
        <v>80000</v>
      </c>
      <c r="J82" t="s">
        <v>16</v>
      </c>
    </row>
    <row r="83" spans="1:10">
      <c r="A83">
        <v>1347</v>
      </c>
      <c r="B83" t="s">
        <v>257</v>
      </c>
      <c r="C83" t="s">
        <v>60</v>
      </c>
      <c r="D83" t="s">
        <v>13</v>
      </c>
      <c r="E83" t="s">
        <v>40</v>
      </c>
      <c r="F83" t="s">
        <v>27</v>
      </c>
      <c r="G83">
        <v>4</v>
      </c>
      <c r="H83">
        <v>20000</v>
      </c>
      <c r="I83">
        <v>80000</v>
      </c>
      <c r="J83" t="s">
        <v>16</v>
      </c>
    </row>
    <row r="84" spans="1:10">
      <c r="A84">
        <v>1383</v>
      </c>
      <c r="B84" t="s">
        <v>272</v>
      </c>
      <c r="C84" t="s">
        <v>32</v>
      </c>
      <c r="D84" t="s">
        <v>13</v>
      </c>
      <c r="E84" t="s">
        <v>40</v>
      </c>
      <c r="F84" t="s">
        <v>27</v>
      </c>
      <c r="G84">
        <v>4</v>
      </c>
      <c r="H84">
        <v>20000</v>
      </c>
      <c r="I84">
        <v>80000</v>
      </c>
      <c r="J84" t="s">
        <v>38</v>
      </c>
    </row>
    <row r="85" spans="1:10">
      <c r="A85">
        <v>1491</v>
      </c>
      <c r="B85" t="s">
        <v>48</v>
      </c>
      <c r="C85" t="s">
        <v>22</v>
      </c>
      <c r="D85" t="s">
        <v>13</v>
      </c>
      <c r="E85" t="s">
        <v>40</v>
      </c>
      <c r="F85" t="s">
        <v>27</v>
      </c>
      <c r="G85">
        <v>4</v>
      </c>
      <c r="H85">
        <v>20000</v>
      </c>
      <c r="I85">
        <v>80000</v>
      </c>
      <c r="J85" t="s">
        <v>16</v>
      </c>
    </row>
    <row r="86" spans="1:10">
      <c r="A86">
        <v>1005</v>
      </c>
      <c r="B86" t="s">
        <v>28</v>
      </c>
      <c r="C86" t="s">
        <v>29</v>
      </c>
      <c r="D86" t="s">
        <v>30</v>
      </c>
      <c r="E86" t="s">
        <v>26</v>
      </c>
      <c r="F86" t="s">
        <v>27</v>
      </c>
      <c r="G86">
        <v>5</v>
      </c>
      <c r="H86">
        <v>15000</v>
      </c>
      <c r="I86">
        <v>75000</v>
      </c>
      <c r="J86" t="s">
        <v>20</v>
      </c>
    </row>
    <row r="87" spans="1:10">
      <c r="A87">
        <v>1012</v>
      </c>
      <c r="B87" t="s">
        <v>45</v>
      </c>
      <c r="C87" t="s">
        <v>42</v>
      </c>
      <c r="D87" t="s">
        <v>18</v>
      </c>
      <c r="E87" t="s">
        <v>26</v>
      </c>
      <c r="F87" t="s">
        <v>27</v>
      </c>
      <c r="G87">
        <v>5</v>
      </c>
      <c r="H87">
        <v>15000</v>
      </c>
      <c r="I87">
        <v>75000</v>
      </c>
      <c r="J87" t="s">
        <v>20</v>
      </c>
    </row>
    <row r="88" spans="1:10">
      <c r="A88">
        <v>1013</v>
      </c>
      <c r="B88" t="s">
        <v>46</v>
      </c>
      <c r="C88" t="s">
        <v>47</v>
      </c>
      <c r="D88" t="s">
        <v>30</v>
      </c>
      <c r="E88" t="s">
        <v>26</v>
      </c>
      <c r="F88" t="s">
        <v>27</v>
      </c>
      <c r="G88">
        <v>5</v>
      </c>
      <c r="H88">
        <v>15000</v>
      </c>
      <c r="I88">
        <v>75000</v>
      </c>
      <c r="J88" t="s">
        <v>38</v>
      </c>
    </row>
    <row r="89" spans="1:10">
      <c r="A89">
        <v>1046</v>
      </c>
      <c r="B89" t="s">
        <v>84</v>
      </c>
      <c r="C89" t="s">
        <v>29</v>
      </c>
      <c r="D89" t="s">
        <v>23</v>
      </c>
      <c r="E89" t="s">
        <v>26</v>
      </c>
      <c r="F89" t="s">
        <v>27</v>
      </c>
      <c r="G89">
        <v>5</v>
      </c>
      <c r="H89">
        <v>15000</v>
      </c>
      <c r="I89">
        <v>75000</v>
      </c>
      <c r="J89" t="s">
        <v>20</v>
      </c>
    </row>
    <row r="90" spans="1:10">
      <c r="A90">
        <v>1077</v>
      </c>
      <c r="B90" t="s">
        <v>85</v>
      </c>
      <c r="C90" t="s">
        <v>22</v>
      </c>
      <c r="D90" t="s">
        <v>13</v>
      </c>
      <c r="E90" t="s">
        <v>26</v>
      </c>
      <c r="F90" t="s">
        <v>27</v>
      </c>
      <c r="G90">
        <v>5</v>
      </c>
      <c r="H90">
        <v>15000</v>
      </c>
      <c r="I90">
        <v>75000</v>
      </c>
      <c r="J90" t="s">
        <v>38</v>
      </c>
    </row>
    <row r="91" spans="1:10">
      <c r="A91">
        <v>1099</v>
      </c>
      <c r="B91" t="s">
        <v>109</v>
      </c>
      <c r="C91" t="s">
        <v>29</v>
      </c>
      <c r="D91" t="s">
        <v>13</v>
      </c>
      <c r="E91" t="s">
        <v>26</v>
      </c>
      <c r="F91" t="s">
        <v>27</v>
      </c>
      <c r="G91">
        <v>5</v>
      </c>
      <c r="H91">
        <v>15000</v>
      </c>
      <c r="I91">
        <v>75000</v>
      </c>
      <c r="J91" t="s">
        <v>16</v>
      </c>
    </row>
    <row r="92" spans="1:10">
      <c r="A92">
        <v>1104</v>
      </c>
      <c r="B92" t="s">
        <v>130</v>
      </c>
      <c r="C92" t="s">
        <v>54</v>
      </c>
      <c r="D92" t="s">
        <v>18</v>
      </c>
      <c r="E92" t="s">
        <v>26</v>
      </c>
      <c r="F92" t="s">
        <v>27</v>
      </c>
      <c r="G92">
        <v>5</v>
      </c>
      <c r="H92">
        <v>15000</v>
      </c>
      <c r="I92">
        <v>75000</v>
      </c>
      <c r="J92" t="s">
        <v>16</v>
      </c>
    </row>
    <row r="93" spans="1:10">
      <c r="A93">
        <v>1123</v>
      </c>
      <c r="B93" t="s">
        <v>143</v>
      </c>
      <c r="C93" t="s">
        <v>54</v>
      </c>
      <c r="D93" t="s">
        <v>23</v>
      </c>
      <c r="E93" t="s">
        <v>26</v>
      </c>
      <c r="F93" t="s">
        <v>27</v>
      </c>
      <c r="G93">
        <v>5</v>
      </c>
      <c r="H93">
        <v>15000</v>
      </c>
      <c r="I93">
        <v>75000</v>
      </c>
      <c r="J93" t="s">
        <v>38</v>
      </c>
    </row>
    <row r="94" spans="1:10">
      <c r="A94">
        <v>1126</v>
      </c>
      <c r="B94" t="s">
        <v>146</v>
      </c>
      <c r="C94" t="s">
        <v>32</v>
      </c>
      <c r="D94" t="s">
        <v>18</v>
      </c>
      <c r="E94" t="s">
        <v>26</v>
      </c>
      <c r="F94" t="s">
        <v>27</v>
      </c>
      <c r="G94">
        <v>5</v>
      </c>
      <c r="H94">
        <v>15000</v>
      </c>
      <c r="I94">
        <v>75000</v>
      </c>
      <c r="J94" t="s">
        <v>38</v>
      </c>
    </row>
    <row r="95" spans="1:10">
      <c r="A95">
        <v>1144</v>
      </c>
      <c r="B95" t="s">
        <v>66</v>
      </c>
      <c r="C95" t="s">
        <v>22</v>
      </c>
      <c r="D95" t="s">
        <v>23</v>
      </c>
      <c r="E95" t="s">
        <v>26</v>
      </c>
      <c r="F95" t="s">
        <v>27</v>
      </c>
      <c r="G95">
        <v>5</v>
      </c>
      <c r="H95">
        <v>15000</v>
      </c>
      <c r="I95">
        <v>75000</v>
      </c>
      <c r="J95" t="s">
        <v>20</v>
      </c>
    </row>
    <row r="96" spans="1:10">
      <c r="A96">
        <v>1173</v>
      </c>
      <c r="B96" t="s">
        <v>177</v>
      </c>
      <c r="C96" t="s">
        <v>22</v>
      </c>
      <c r="D96" t="s">
        <v>23</v>
      </c>
      <c r="E96" t="s">
        <v>26</v>
      </c>
      <c r="F96" t="s">
        <v>27</v>
      </c>
      <c r="G96">
        <v>5</v>
      </c>
      <c r="H96">
        <v>15000</v>
      </c>
      <c r="I96">
        <v>75000</v>
      </c>
      <c r="J96" t="s">
        <v>34</v>
      </c>
    </row>
    <row r="97" spans="1:10">
      <c r="A97">
        <v>1257</v>
      </c>
      <c r="B97" t="s">
        <v>223</v>
      </c>
      <c r="C97" t="s">
        <v>25</v>
      </c>
      <c r="D97" t="s">
        <v>30</v>
      </c>
      <c r="E97" t="s">
        <v>26</v>
      </c>
      <c r="F97" t="s">
        <v>27</v>
      </c>
      <c r="G97">
        <v>5</v>
      </c>
      <c r="H97">
        <v>15000</v>
      </c>
      <c r="I97">
        <v>75000</v>
      </c>
      <c r="J97" t="s">
        <v>16</v>
      </c>
    </row>
    <row r="98" spans="1:10">
      <c r="A98">
        <v>1287</v>
      </c>
      <c r="B98" t="s">
        <v>124</v>
      </c>
      <c r="C98" t="s">
        <v>32</v>
      </c>
      <c r="D98" t="s">
        <v>23</v>
      </c>
      <c r="E98" t="s">
        <v>26</v>
      </c>
      <c r="F98" t="s">
        <v>27</v>
      </c>
      <c r="G98">
        <v>5</v>
      </c>
      <c r="H98">
        <v>15000</v>
      </c>
      <c r="I98">
        <v>75000</v>
      </c>
      <c r="J98" t="s">
        <v>16</v>
      </c>
    </row>
    <row r="99" spans="1:10">
      <c r="A99">
        <v>1298</v>
      </c>
      <c r="B99" t="s">
        <v>241</v>
      </c>
      <c r="C99" t="s">
        <v>25</v>
      </c>
      <c r="D99" t="s">
        <v>13</v>
      </c>
      <c r="E99" t="s">
        <v>26</v>
      </c>
      <c r="F99" t="s">
        <v>27</v>
      </c>
      <c r="G99">
        <v>5</v>
      </c>
      <c r="H99">
        <v>15000</v>
      </c>
      <c r="I99">
        <v>75000</v>
      </c>
      <c r="J99" t="s">
        <v>16</v>
      </c>
    </row>
    <row r="100" spans="1:10">
      <c r="A100">
        <v>1353</v>
      </c>
      <c r="B100" t="s">
        <v>261</v>
      </c>
      <c r="C100" t="s">
        <v>60</v>
      </c>
      <c r="D100" t="s">
        <v>18</v>
      </c>
      <c r="E100" t="s">
        <v>26</v>
      </c>
      <c r="F100" t="s">
        <v>27</v>
      </c>
      <c r="G100">
        <v>5</v>
      </c>
      <c r="H100">
        <v>15000</v>
      </c>
      <c r="I100">
        <v>75000</v>
      </c>
      <c r="J100" t="s">
        <v>16</v>
      </c>
    </row>
    <row r="101" spans="1:10">
      <c r="A101">
        <v>1356</v>
      </c>
      <c r="B101" t="s">
        <v>137</v>
      </c>
      <c r="C101" t="s">
        <v>71</v>
      </c>
      <c r="D101" t="s">
        <v>30</v>
      </c>
      <c r="E101" t="s">
        <v>26</v>
      </c>
      <c r="F101" t="s">
        <v>27</v>
      </c>
      <c r="G101">
        <v>5</v>
      </c>
      <c r="H101">
        <v>15000</v>
      </c>
      <c r="I101">
        <v>75000</v>
      </c>
      <c r="J101" t="s">
        <v>16</v>
      </c>
    </row>
    <row r="102" spans="1:10">
      <c r="A102">
        <v>1387</v>
      </c>
      <c r="B102" t="s">
        <v>266</v>
      </c>
      <c r="C102" t="s">
        <v>54</v>
      </c>
      <c r="D102" t="s">
        <v>30</v>
      </c>
      <c r="E102" t="s">
        <v>26</v>
      </c>
      <c r="F102" t="s">
        <v>27</v>
      </c>
      <c r="G102">
        <v>5</v>
      </c>
      <c r="H102">
        <v>15000</v>
      </c>
      <c r="I102">
        <v>75000</v>
      </c>
      <c r="J102" t="s">
        <v>34</v>
      </c>
    </row>
    <row r="103" spans="1:10">
      <c r="A103">
        <v>1010</v>
      </c>
      <c r="B103" t="s">
        <v>39</v>
      </c>
      <c r="C103" t="s">
        <v>22</v>
      </c>
      <c r="D103" t="s">
        <v>23</v>
      </c>
      <c r="E103" t="s">
        <v>40</v>
      </c>
      <c r="F103" t="s">
        <v>27</v>
      </c>
      <c r="G103">
        <v>3</v>
      </c>
      <c r="H103">
        <v>20000</v>
      </c>
      <c r="I103">
        <v>60000</v>
      </c>
      <c r="J103" t="s">
        <v>16</v>
      </c>
    </row>
    <row r="104" spans="1:10">
      <c r="A104">
        <v>1018</v>
      </c>
      <c r="B104" t="s">
        <v>53</v>
      </c>
      <c r="C104" t="s">
        <v>54</v>
      </c>
      <c r="D104" t="s">
        <v>18</v>
      </c>
      <c r="E104" t="s">
        <v>26</v>
      </c>
      <c r="F104" t="s">
        <v>27</v>
      </c>
      <c r="G104">
        <v>4</v>
      </c>
      <c r="H104">
        <v>15000</v>
      </c>
      <c r="I104">
        <v>60000</v>
      </c>
      <c r="J104" t="s">
        <v>38</v>
      </c>
    </row>
    <row r="105" spans="1:10">
      <c r="A105">
        <v>1032</v>
      </c>
      <c r="B105" t="s">
        <v>70</v>
      </c>
      <c r="C105" t="s">
        <v>71</v>
      </c>
      <c r="D105" t="s">
        <v>30</v>
      </c>
      <c r="E105" t="s">
        <v>26</v>
      </c>
      <c r="F105" t="s">
        <v>27</v>
      </c>
      <c r="G105">
        <v>4</v>
      </c>
      <c r="H105">
        <v>15000</v>
      </c>
      <c r="I105">
        <v>60000</v>
      </c>
      <c r="J105" t="s">
        <v>34</v>
      </c>
    </row>
    <row r="106" spans="1:10">
      <c r="A106">
        <v>1130</v>
      </c>
      <c r="B106" t="s">
        <v>148</v>
      </c>
      <c r="C106" t="s">
        <v>22</v>
      </c>
      <c r="D106" t="s">
        <v>23</v>
      </c>
      <c r="E106" t="s">
        <v>40</v>
      </c>
      <c r="F106" t="s">
        <v>27</v>
      </c>
      <c r="G106">
        <v>3</v>
      </c>
      <c r="H106">
        <v>20000</v>
      </c>
      <c r="I106">
        <v>60000</v>
      </c>
      <c r="J106" t="s">
        <v>16</v>
      </c>
    </row>
    <row r="107" spans="1:10">
      <c r="A107">
        <v>1184</v>
      </c>
      <c r="B107" t="s">
        <v>49</v>
      </c>
      <c r="C107" t="s">
        <v>71</v>
      </c>
      <c r="D107" t="s">
        <v>30</v>
      </c>
      <c r="E107" t="s">
        <v>40</v>
      </c>
      <c r="F107" t="s">
        <v>27</v>
      </c>
      <c r="G107">
        <v>3</v>
      </c>
      <c r="H107">
        <v>20000</v>
      </c>
      <c r="I107">
        <v>60000</v>
      </c>
      <c r="J107" t="s">
        <v>16</v>
      </c>
    </row>
    <row r="108" spans="1:10">
      <c r="A108">
        <v>1187</v>
      </c>
      <c r="B108" t="s">
        <v>185</v>
      </c>
      <c r="C108" t="s">
        <v>29</v>
      </c>
      <c r="D108" t="s">
        <v>23</v>
      </c>
      <c r="E108" t="s">
        <v>40</v>
      </c>
      <c r="F108" t="s">
        <v>27</v>
      </c>
      <c r="G108">
        <v>3</v>
      </c>
      <c r="H108">
        <v>20000</v>
      </c>
      <c r="I108">
        <v>60000</v>
      </c>
      <c r="J108" t="s">
        <v>20</v>
      </c>
    </row>
    <row r="109" spans="1:10">
      <c r="A109">
        <v>1192</v>
      </c>
      <c r="B109" t="s">
        <v>189</v>
      </c>
      <c r="C109" t="s">
        <v>12</v>
      </c>
      <c r="D109" t="s">
        <v>23</v>
      </c>
      <c r="E109" t="s">
        <v>26</v>
      </c>
      <c r="F109" t="s">
        <v>27</v>
      </c>
      <c r="G109">
        <v>4</v>
      </c>
      <c r="H109">
        <v>15000</v>
      </c>
      <c r="I109">
        <v>60000</v>
      </c>
      <c r="J109" t="s">
        <v>16</v>
      </c>
    </row>
    <row r="110" spans="1:10">
      <c r="A110">
        <v>1197</v>
      </c>
      <c r="B110" t="s">
        <v>147</v>
      </c>
      <c r="C110" t="s">
        <v>60</v>
      </c>
      <c r="D110" t="s">
        <v>23</v>
      </c>
      <c r="E110" t="s">
        <v>26</v>
      </c>
      <c r="F110" t="s">
        <v>27</v>
      </c>
      <c r="G110">
        <v>4</v>
      </c>
      <c r="H110">
        <v>15000</v>
      </c>
      <c r="I110">
        <v>60000</v>
      </c>
      <c r="J110" t="s">
        <v>20</v>
      </c>
    </row>
    <row r="111" spans="1:10">
      <c r="A111">
        <v>1207</v>
      </c>
      <c r="B111" t="s">
        <v>200</v>
      </c>
      <c r="C111" t="s">
        <v>22</v>
      </c>
      <c r="D111" t="s">
        <v>30</v>
      </c>
      <c r="E111" t="s">
        <v>40</v>
      </c>
      <c r="F111" t="s">
        <v>27</v>
      </c>
      <c r="G111">
        <v>3</v>
      </c>
      <c r="H111">
        <v>20000</v>
      </c>
      <c r="I111">
        <v>60000</v>
      </c>
      <c r="J111" t="s">
        <v>34</v>
      </c>
    </row>
    <row r="112" spans="1:10">
      <c r="A112">
        <v>1217</v>
      </c>
      <c r="B112" t="s">
        <v>206</v>
      </c>
      <c r="C112" t="s">
        <v>22</v>
      </c>
      <c r="D112" t="s">
        <v>23</v>
      </c>
      <c r="E112" t="s">
        <v>40</v>
      </c>
      <c r="F112" t="s">
        <v>27</v>
      </c>
      <c r="G112">
        <v>3</v>
      </c>
      <c r="H112">
        <v>20000</v>
      </c>
      <c r="I112">
        <v>60000</v>
      </c>
      <c r="J112" t="s">
        <v>38</v>
      </c>
    </row>
    <row r="113" spans="1:10">
      <c r="A113">
        <v>1251</v>
      </c>
      <c r="B113" t="s">
        <v>180</v>
      </c>
      <c r="C113" t="s">
        <v>22</v>
      </c>
      <c r="D113" t="s">
        <v>18</v>
      </c>
      <c r="E113" t="s">
        <v>26</v>
      </c>
      <c r="F113" t="s">
        <v>27</v>
      </c>
      <c r="G113">
        <v>4</v>
      </c>
      <c r="H113">
        <v>15000</v>
      </c>
      <c r="I113">
        <v>60000</v>
      </c>
      <c r="J113" t="s">
        <v>38</v>
      </c>
    </row>
    <row r="114" spans="1:10">
      <c r="A114">
        <v>1268</v>
      </c>
      <c r="B114" t="s">
        <v>230</v>
      </c>
      <c r="C114" t="s">
        <v>47</v>
      </c>
      <c r="D114" t="s">
        <v>23</v>
      </c>
      <c r="E114" t="s">
        <v>26</v>
      </c>
      <c r="F114" t="s">
        <v>27</v>
      </c>
      <c r="G114">
        <v>4</v>
      </c>
      <c r="H114">
        <v>15000</v>
      </c>
      <c r="I114">
        <v>60000</v>
      </c>
      <c r="J114" t="s">
        <v>34</v>
      </c>
    </row>
    <row r="115" spans="1:10">
      <c r="A115">
        <v>1335</v>
      </c>
      <c r="B115" t="s">
        <v>218</v>
      </c>
      <c r="C115" t="s">
        <v>22</v>
      </c>
      <c r="D115" t="s">
        <v>30</v>
      </c>
      <c r="E115" t="s">
        <v>26</v>
      </c>
      <c r="F115" t="s">
        <v>27</v>
      </c>
      <c r="G115">
        <v>4</v>
      </c>
      <c r="H115">
        <v>15000</v>
      </c>
      <c r="I115">
        <v>60000</v>
      </c>
      <c r="J115" t="s">
        <v>34</v>
      </c>
    </row>
    <row r="116" spans="1:10">
      <c r="A116">
        <v>1337</v>
      </c>
      <c r="B116" t="s">
        <v>252</v>
      </c>
      <c r="C116" t="s">
        <v>22</v>
      </c>
      <c r="D116" t="s">
        <v>30</v>
      </c>
      <c r="E116" t="s">
        <v>26</v>
      </c>
      <c r="F116" t="s">
        <v>27</v>
      </c>
      <c r="G116">
        <v>4</v>
      </c>
      <c r="H116">
        <v>15000</v>
      </c>
      <c r="I116">
        <v>60000</v>
      </c>
      <c r="J116" t="s">
        <v>20</v>
      </c>
    </row>
    <row r="117" spans="1:10">
      <c r="A117">
        <v>1345</v>
      </c>
      <c r="B117" t="s">
        <v>99</v>
      </c>
      <c r="C117" t="s">
        <v>54</v>
      </c>
      <c r="D117" t="s">
        <v>30</v>
      </c>
      <c r="E117" t="s">
        <v>26</v>
      </c>
      <c r="F117" t="s">
        <v>27</v>
      </c>
      <c r="G117">
        <v>4</v>
      </c>
      <c r="H117">
        <v>15000</v>
      </c>
      <c r="I117">
        <v>60000</v>
      </c>
      <c r="J117" t="s">
        <v>38</v>
      </c>
    </row>
    <row r="118" spans="1:10">
      <c r="A118">
        <v>1355</v>
      </c>
      <c r="B118" t="s">
        <v>188</v>
      </c>
      <c r="C118" t="s">
        <v>42</v>
      </c>
      <c r="D118" t="s">
        <v>30</v>
      </c>
      <c r="E118" t="s">
        <v>26</v>
      </c>
      <c r="F118" t="s">
        <v>27</v>
      </c>
      <c r="G118">
        <v>4</v>
      </c>
      <c r="H118">
        <v>15000</v>
      </c>
      <c r="I118">
        <v>60000</v>
      </c>
      <c r="J118" t="s">
        <v>38</v>
      </c>
    </row>
    <row r="119" spans="1:10">
      <c r="A119">
        <v>1370</v>
      </c>
      <c r="B119" t="s">
        <v>184</v>
      </c>
      <c r="C119" t="s">
        <v>12</v>
      </c>
      <c r="D119" t="s">
        <v>30</v>
      </c>
      <c r="E119" t="s">
        <v>26</v>
      </c>
      <c r="F119" t="s">
        <v>27</v>
      </c>
      <c r="G119">
        <v>4</v>
      </c>
      <c r="H119">
        <v>15000</v>
      </c>
      <c r="I119">
        <v>60000</v>
      </c>
      <c r="J119" t="s">
        <v>16</v>
      </c>
    </row>
    <row r="120" spans="1:10">
      <c r="A120">
        <v>1401</v>
      </c>
      <c r="B120" t="s">
        <v>227</v>
      </c>
      <c r="C120" t="s">
        <v>12</v>
      </c>
      <c r="D120" t="s">
        <v>30</v>
      </c>
      <c r="E120" t="s">
        <v>26</v>
      </c>
      <c r="F120" t="s">
        <v>27</v>
      </c>
      <c r="G120">
        <v>4</v>
      </c>
      <c r="H120">
        <v>15000</v>
      </c>
      <c r="I120">
        <v>60000</v>
      </c>
      <c r="J120" t="s">
        <v>20</v>
      </c>
    </row>
    <row r="121" spans="1:10">
      <c r="A121">
        <v>1426</v>
      </c>
      <c r="B121" t="s">
        <v>175</v>
      </c>
      <c r="C121" t="s">
        <v>47</v>
      </c>
      <c r="D121" t="s">
        <v>23</v>
      </c>
      <c r="E121" t="s">
        <v>40</v>
      </c>
      <c r="F121" t="s">
        <v>27</v>
      </c>
      <c r="G121">
        <v>3</v>
      </c>
      <c r="H121">
        <v>20000</v>
      </c>
      <c r="I121">
        <v>60000</v>
      </c>
      <c r="J121" t="s">
        <v>20</v>
      </c>
    </row>
    <row r="122" spans="1:10">
      <c r="A122">
        <v>1430</v>
      </c>
      <c r="B122" t="s">
        <v>248</v>
      </c>
      <c r="C122" t="s">
        <v>29</v>
      </c>
      <c r="D122" t="s">
        <v>30</v>
      </c>
      <c r="E122" t="s">
        <v>26</v>
      </c>
      <c r="F122" t="s">
        <v>27</v>
      </c>
      <c r="G122">
        <v>4</v>
      </c>
      <c r="H122">
        <v>15000</v>
      </c>
      <c r="I122">
        <v>60000</v>
      </c>
      <c r="J122" t="s">
        <v>34</v>
      </c>
    </row>
    <row r="123" spans="1:10">
      <c r="A123">
        <v>1442</v>
      </c>
      <c r="B123" t="s">
        <v>292</v>
      </c>
      <c r="C123" t="s">
        <v>32</v>
      </c>
      <c r="D123" t="s">
        <v>30</v>
      </c>
      <c r="E123" t="s">
        <v>40</v>
      </c>
      <c r="F123" t="s">
        <v>27</v>
      </c>
      <c r="G123">
        <v>3</v>
      </c>
      <c r="H123">
        <v>20000</v>
      </c>
      <c r="I123">
        <v>60000</v>
      </c>
      <c r="J123" t="s">
        <v>20</v>
      </c>
    </row>
    <row r="124" spans="1:10">
      <c r="A124">
        <v>1443</v>
      </c>
      <c r="B124" t="s">
        <v>177</v>
      </c>
      <c r="C124" t="s">
        <v>29</v>
      </c>
      <c r="D124" t="s">
        <v>13</v>
      </c>
      <c r="E124" t="s">
        <v>26</v>
      </c>
      <c r="F124" t="s">
        <v>27</v>
      </c>
      <c r="G124">
        <v>4</v>
      </c>
      <c r="H124">
        <v>15000</v>
      </c>
      <c r="I124">
        <v>60000</v>
      </c>
      <c r="J124" t="s">
        <v>20</v>
      </c>
    </row>
    <row r="125" spans="1:10">
      <c r="A125">
        <v>1483</v>
      </c>
      <c r="B125" t="s">
        <v>129</v>
      </c>
      <c r="C125" t="s">
        <v>29</v>
      </c>
      <c r="D125" t="s">
        <v>18</v>
      </c>
      <c r="E125" t="s">
        <v>40</v>
      </c>
      <c r="F125" t="s">
        <v>27</v>
      </c>
      <c r="G125">
        <v>3</v>
      </c>
      <c r="H125">
        <v>20000</v>
      </c>
      <c r="I125">
        <v>60000</v>
      </c>
      <c r="J125" t="s">
        <v>38</v>
      </c>
    </row>
    <row r="126" spans="1:10">
      <c r="A126">
        <v>1497</v>
      </c>
      <c r="B126" t="s">
        <v>306</v>
      </c>
      <c r="C126" t="s">
        <v>29</v>
      </c>
      <c r="D126" t="s">
        <v>30</v>
      </c>
      <c r="E126" t="s">
        <v>40</v>
      </c>
      <c r="F126" t="s">
        <v>27</v>
      </c>
      <c r="G126">
        <v>3</v>
      </c>
      <c r="H126">
        <v>20000</v>
      </c>
      <c r="I126">
        <v>60000</v>
      </c>
      <c r="J126" t="s">
        <v>20</v>
      </c>
    </row>
    <row r="127" spans="1:10">
      <c r="A127">
        <v>1499</v>
      </c>
      <c r="B127" t="s">
        <v>269</v>
      </c>
      <c r="C127" t="s">
        <v>29</v>
      </c>
      <c r="D127" t="s">
        <v>18</v>
      </c>
      <c r="E127" t="s">
        <v>26</v>
      </c>
      <c r="F127" t="s">
        <v>27</v>
      </c>
      <c r="G127">
        <v>4</v>
      </c>
      <c r="H127">
        <v>15000</v>
      </c>
      <c r="I127">
        <v>60000</v>
      </c>
      <c r="J127" t="s">
        <v>20</v>
      </c>
    </row>
    <row r="128" spans="1:10">
      <c r="A128">
        <v>1073</v>
      </c>
      <c r="B128" t="s">
        <v>107</v>
      </c>
      <c r="C128" t="s">
        <v>71</v>
      </c>
      <c r="D128" t="s">
        <v>23</v>
      </c>
      <c r="E128" t="s">
        <v>33</v>
      </c>
      <c r="F128" t="s">
        <v>27</v>
      </c>
      <c r="G128">
        <v>1</v>
      </c>
      <c r="H128">
        <v>55000</v>
      </c>
      <c r="I128">
        <v>55000</v>
      </c>
      <c r="J128" t="s">
        <v>16</v>
      </c>
    </row>
    <row r="129" spans="1:10">
      <c r="A129">
        <v>1218</v>
      </c>
      <c r="B129" t="s">
        <v>207</v>
      </c>
      <c r="C129" t="s">
        <v>12</v>
      </c>
      <c r="D129" t="s">
        <v>30</v>
      </c>
      <c r="E129" t="s">
        <v>33</v>
      </c>
      <c r="F129" t="s">
        <v>27</v>
      </c>
      <c r="G129">
        <v>1</v>
      </c>
      <c r="H129">
        <v>55000</v>
      </c>
      <c r="I129">
        <v>55000</v>
      </c>
      <c r="J129" t="s">
        <v>16</v>
      </c>
    </row>
    <row r="130" spans="1:10">
      <c r="A130">
        <v>1224</v>
      </c>
      <c r="B130" t="s">
        <v>210</v>
      </c>
      <c r="C130" t="s">
        <v>42</v>
      </c>
      <c r="D130" t="s">
        <v>23</v>
      </c>
      <c r="E130" t="s">
        <v>33</v>
      </c>
      <c r="F130" t="s">
        <v>27</v>
      </c>
      <c r="G130">
        <v>1</v>
      </c>
      <c r="H130">
        <v>55000</v>
      </c>
      <c r="I130">
        <v>55000</v>
      </c>
      <c r="J130" t="s">
        <v>16</v>
      </c>
    </row>
    <row r="131" spans="1:10">
      <c r="A131">
        <v>1228</v>
      </c>
      <c r="B131" t="s">
        <v>212</v>
      </c>
      <c r="C131" t="s">
        <v>42</v>
      </c>
      <c r="D131" t="s">
        <v>23</v>
      </c>
      <c r="E131" t="s">
        <v>33</v>
      </c>
      <c r="F131" t="s">
        <v>27</v>
      </c>
      <c r="G131">
        <v>1</v>
      </c>
      <c r="H131">
        <v>55000</v>
      </c>
      <c r="I131">
        <v>55000</v>
      </c>
      <c r="J131" t="s">
        <v>38</v>
      </c>
    </row>
    <row r="132" spans="1:10">
      <c r="A132">
        <v>1293</v>
      </c>
      <c r="B132" t="s">
        <v>240</v>
      </c>
      <c r="C132" t="s">
        <v>29</v>
      </c>
      <c r="D132" t="s">
        <v>23</v>
      </c>
      <c r="E132" t="s">
        <v>33</v>
      </c>
      <c r="F132" t="s">
        <v>27</v>
      </c>
      <c r="G132">
        <v>1</v>
      </c>
      <c r="H132">
        <v>55000</v>
      </c>
      <c r="I132">
        <v>55000</v>
      </c>
      <c r="J132" t="s">
        <v>20</v>
      </c>
    </row>
    <row r="133" spans="1:10">
      <c r="A133">
        <v>1306</v>
      </c>
      <c r="B133" t="s">
        <v>246</v>
      </c>
      <c r="C133" t="s">
        <v>71</v>
      </c>
      <c r="D133" t="s">
        <v>23</v>
      </c>
      <c r="E133" t="s">
        <v>33</v>
      </c>
      <c r="F133" t="s">
        <v>27</v>
      </c>
      <c r="G133">
        <v>1</v>
      </c>
      <c r="H133">
        <v>55000</v>
      </c>
      <c r="I133">
        <v>55000</v>
      </c>
      <c r="J133" t="s">
        <v>20</v>
      </c>
    </row>
    <row r="134" spans="1:10">
      <c r="A134">
        <v>1336</v>
      </c>
      <c r="B134" t="s">
        <v>148</v>
      </c>
      <c r="C134" t="s">
        <v>32</v>
      </c>
      <c r="D134" t="s">
        <v>30</v>
      </c>
      <c r="E134" t="s">
        <v>33</v>
      </c>
      <c r="F134" t="s">
        <v>27</v>
      </c>
      <c r="G134">
        <v>1</v>
      </c>
      <c r="H134">
        <v>55000</v>
      </c>
      <c r="I134">
        <v>55000</v>
      </c>
      <c r="J134" t="s">
        <v>38</v>
      </c>
    </row>
    <row r="135" spans="1:10">
      <c r="A135">
        <v>1358</v>
      </c>
      <c r="B135" t="s">
        <v>56</v>
      </c>
      <c r="C135" t="s">
        <v>25</v>
      </c>
      <c r="D135" t="s">
        <v>23</v>
      </c>
      <c r="E135" t="s">
        <v>33</v>
      </c>
      <c r="F135" t="s">
        <v>27</v>
      </c>
      <c r="G135">
        <v>1</v>
      </c>
      <c r="H135">
        <v>55000</v>
      </c>
      <c r="I135">
        <v>55000</v>
      </c>
      <c r="J135" t="s">
        <v>38</v>
      </c>
    </row>
    <row r="136" spans="1:10">
      <c r="A136">
        <v>1423</v>
      </c>
      <c r="B136" t="s">
        <v>205</v>
      </c>
      <c r="C136" t="s">
        <v>71</v>
      </c>
      <c r="D136" t="s">
        <v>13</v>
      </c>
      <c r="E136" t="s">
        <v>33</v>
      </c>
      <c r="F136" t="s">
        <v>27</v>
      </c>
      <c r="G136">
        <v>1</v>
      </c>
      <c r="H136">
        <v>55000</v>
      </c>
      <c r="I136">
        <v>55000</v>
      </c>
      <c r="J136" t="s">
        <v>34</v>
      </c>
    </row>
    <row r="137" spans="1:10">
      <c r="A137">
        <v>1477</v>
      </c>
      <c r="B137" t="s">
        <v>155</v>
      </c>
      <c r="C137" t="s">
        <v>22</v>
      </c>
      <c r="D137" t="s">
        <v>18</v>
      </c>
      <c r="E137" t="s">
        <v>33</v>
      </c>
      <c r="F137" t="s">
        <v>27</v>
      </c>
      <c r="G137">
        <v>1</v>
      </c>
      <c r="H137">
        <v>55000</v>
      </c>
      <c r="I137">
        <v>55000</v>
      </c>
      <c r="J137" t="s">
        <v>34</v>
      </c>
    </row>
    <row r="138" spans="1:10">
      <c r="A138">
        <v>1479</v>
      </c>
      <c r="B138" t="s">
        <v>149</v>
      </c>
      <c r="C138" t="s">
        <v>54</v>
      </c>
      <c r="D138" t="s">
        <v>13</v>
      </c>
      <c r="E138" t="s">
        <v>33</v>
      </c>
      <c r="F138" t="s">
        <v>27</v>
      </c>
      <c r="G138">
        <v>1</v>
      </c>
      <c r="H138">
        <v>55000</v>
      </c>
      <c r="I138">
        <v>55000</v>
      </c>
      <c r="J138" t="s">
        <v>34</v>
      </c>
    </row>
    <row r="139" spans="1:10">
      <c r="A139">
        <v>1482</v>
      </c>
      <c r="B139" t="s">
        <v>303</v>
      </c>
      <c r="C139" t="s">
        <v>32</v>
      </c>
      <c r="D139" t="s">
        <v>23</v>
      </c>
      <c r="E139" t="s">
        <v>33</v>
      </c>
      <c r="F139" t="s">
        <v>27</v>
      </c>
      <c r="G139">
        <v>1</v>
      </c>
      <c r="H139">
        <v>55000</v>
      </c>
      <c r="I139">
        <v>55000</v>
      </c>
      <c r="J139" t="s">
        <v>20</v>
      </c>
    </row>
    <row r="140" spans="1:10">
      <c r="A140">
        <v>1102</v>
      </c>
      <c r="B140" t="s">
        <v>129</v>
      </c>
      <c r="C140" t="s">
        <v>47</v>
      </c>
      <c r="D140" t="s">
        <v>13</v>
      </c>
      <c r="E140" t="s">
        <v>26</v>
      </c>
      <c r="F140" t="s">
        <v>27</v>
      </c>
      <c r="G140">
        <v>3</v>
      </c>
      <c r="H140">
        <v>15000</v>
      </c>
      <c r="I140">
        <v>45000</v>
      </c>
      <c r="J140" t="s">
        <v>20</v>
      </c>
    </row>
    <row r="141" spans="1:10">
      <c r="A141">
        <v>1121</v>
      </c>
      <c r="B141" t="s">
        <v>21</v>
      </c>
      <c r="C141" t="s">
        <v>32</v>
      </c>
      <c r="D141" t="s">
        <v>30</v>
      </c>
      <c r="E141" t="s">
        <v>26</v>
      </c>
      <c r="F141" t="s">
        <v>27</v>
      </c>
      <c r="G141">
        <v>3</v>
      </c>
      <c r="H141">
        <v>15000</v>
      </c>
      <c r="I141">
        <v>45000</v>
      </c>
      <c r="J141" t="s">
        <v>34</v>
      </c>
    </row>
    <row r="142" spans="1:10">
      <c r="A142">
        <v>1134</v>
      </c>
      <c r="B142" t="s">
        <v>151</v>
      </c>
      <c r="C142" t="s">
        <v>60</v>
      </c>
      <c r="D142" t="s">
        <v>30</v>
      </c>
      <c r="E142" t="s">
        <v>26</v>
      </c>
      <c r="F142" t="s">
        <v>27</v>
      </c>
      <c r="G142">
        <v>3</v>
      </c>
      <c r="H142">
        <v>15000</v>
      </c>
      <c r="I142">
        <v>45000</v>
      </c>
      <c r="J142" t="s">
        <v>34</v>
      </c>
    </row>
    <row r="143" spans="1:10">
      <c r="A143">
        <v>1165</v>
      </c>
      <c r="B143" t="s">
        <v>157</v>
      </c>
      <c r="C143" t="s">
        <v>29</v>
      </c>
      <c r="D143" t="s">
        <v>23</v>
      </c>
      <c r="E143" t="s">
        <v>26</v>
      </c>
      <c r="F143" t="s">
        <v>27</v>
      </c>
      <c r="G143">
        <v>3</v>
      </c>
      <c r="H143">
        <v>15000</v>
      </c>
      <c r="I143">
        <v>45000</v>
      </c>
      <c r="J143" t="s">
        <v>38</v>
      </c>
    </row>
    <row r="144" spans="1:10">
      <c r="A144">
        <v>1188</v>
      </c>
      <c r="B144" t="s">
        <v>186</v>
      </c>
      <c r="C144" t="s">
        <v>29</v>
      </c>
      <c r="D144" t="s">
        <v>30</v>
      </c>
      <c r="E144" t="s">
        <v>26</v>
      </c>
      <c r="F144" t="s">
        <v>27</v>
      </c>
      <c r="G144">
        <v>3</v>
      </c>
      <c r="H144">
        <v>15000</v>
      </c>
      <c r="I144">
        <v>45000</v>
      </c>
      <c r="J144" t="s">
        <v>16</v>
      </c>
    </row>
    <row r="145" spans="1:10">
      <c r="A145">
        <v>1203</v>
      </c>
      <c r="B145" t="s">
        <v>197</v>
      </c>
      <c r="C145" t="s">
        <v>22</v>
      </c>
      <c r="D145" t="s">
        <v>30</v>
      </c>
      <c r="E145" t="s">
        <v>26</v>
      </c>
      <c r="F145" t="s">
        <v>27</v>
      </c>
      <c r="G145">
        <v>3</v>
      </c>
      <c r="H145">
        <v>15000</v>
      </c>
      <c r="I145">
        <v>45000</v>
      </c>
      <c r="J145" t="s">
        <v>16</v>
      </c>
    </row>
    <row r="146" spans="1:10">
      <c r="A146">
        <v>1266</v>
      </c>
      <c r="B146" t="s">
        <v>107</v>
      </c>
      <c r="C146" t="s">
        <v>12</v>
      </c>
      <c r="D146" t="s">
        <v>30</v>
      </c>
      <c r="E146" t="s">
        <v>26</v>
      </c>
      <c r="F146" t="s">
        <v>27</v>
      </c>
      <c r="G146">
        <v>3</v>
      </c>
      <c r="H146">
        <v>15000</v>
      </c>
      <c r="I146">
        <v>45000</v>
      </c>
      <c r="J146" t="s">
        <v>20</v>
      </c>
    </row>
    <row r="147" spans="1:10">
      <c r="A147">
        <v>1303</v>
      </c>
      <c r="B147" t="s">
        <v>244</v>
      </c>
      <c r="C147" t="s">
        <v>47</v>
      </c>
      <c r="D147" t="s">
        <v>30</v>
      </c>
      <c r="E147" t="s">
        <v>26</v>
      </c>
      <c r="F147" t="s">
        <v>27</v>
      </c>
      <c r="G147">
        <v>3</v>
      </c>
      <c r="H147">
        <v>15000</v>
      </c>
      <c r="I147">
        <v>45000</v>
      </c>
      <c r="J147" t="s">
        <v>34</v>
      </c>
    </row>
    <row r="148" spans="1:10">
      <c r="A148">
        <v>1326</v>
      </c>
      <c r="B148" t="s">
        <v>176</v>
      </c>
      <c r="C148" t="s">
        <v>54</v>
      </c>
      <c r="D148" t="s">
        <v>18</v>
      </c>
      <c r="E148" t="s">
        <v>26</v>
      </c>
      <c r="F148" t="s">
        <v>27</v>
      </c>
      <c r="G148">
        <v>3</v>
      </c>
      <c r="H148">
        <v>15000</v>
      </c>
      <c r="I148">
        <v>45000</v>
      </c>
      <c r="J148" t="s">
        <v>16</v>
      </c>
    </row>
    <row r="149" spans="1:10">
      <c r="A149">
        <v>1357</v>
      </c>
      <c r="B149" t="s">
        <v>107</v>
      </c>
      <c r="C149" t="s">
        <v>54</v>
      </c>
      <c r="D149" t="s">
        <v>23</v>
      </c>
      <c r="E149" t="s">
        <v>26</v>
      </c>
      <c r="F149" t="s">
        <v>27</v>
      </c>
      <c r="G149">
        <v>3</v>
      </c>
      <c r="H149">
        <v>15000</v>
      </c>
      <c r="I149">
        <v>45000</v>
      </c>
      <c r="J149" t="s">
        <v>38</v>
      </c>
    </row>
    <row r="150" spans="1:10">
      <c r="A150">
        <v>1374</v>
      </c>
      <c r="B150" t="s">
        <v>265</v>
      </c>
      <c r="C150" t="s">
        <v>12</v>
      </c>
      <c r="D150" t="s">
        <v>13</v>
      </c>
      <c r="E150" t="s">
        <v>26</v>
      </c>
      <c r="F150" t="s">
        <v>27</v>
      </c>
      <c r="G150">
        <v>3</v>
      </c>
      <c r="H150">
        <v>15000</v>
      </c>
      <c r="I150">
        <v>45000</v>
      </c>
      <c r="J150" t="s">
        <v>16</v>
      </c>
    </row>
    <row r="151" spans="1:10">
      <c r="A151">
        <v>1040</v>
      </c>
      <c r="B151" t="s">
        <v>78</v>
      </c>
      <c r="C151" t="s">
        <v>42</v>
      </c>
      <c r="D151" t="s">
        <v>13</v>
      </c>
      <c r="E151" t="s">
        <v>14</v>
      </c>
      <c r="F151" t="s">
        <v>15</v>
      </c>
      <c r="G151">
        <v>5</v>
      </c>
      <c r="H151">
        <v>8000</v>
      </c>
      <c r="I151">
        <v>40000</v>
      </c>
      <c r="J151" t="s">
        <v>38</v>
      </c>
    </row>
    <row r="152" spans="1:10">
      <c r="A152">
        <v>1065</v>
      </c>
      <c r="B152" t="s">
        <v>99</v>
      </c>
      <c r="C152" t="s">
        <v>29</v>
      </c>
      <c r="D152" t="s">
        <v>23</v>
      </c>
      <c r="E152" t="s">
        <v>40</v>
      </c>
      <c r="F152" t="s">
        <v>27</v>
      </c>
      <c r="G152">
        <v>2</v>
      </c>
      <c r="H152">
        <v>20000</v>
      </c>
      <c r="I152">
        <v>40000</v>
      </c>
      <c r="J152" t="s">
        <v>20</v>
      </c>
    </row>
    <row r="153" spans="1:10">
      <c r="A153">
        <v>1093</v>
      </c>
      <c r="B153" t="s">
        <v>122</v>
      </c>
      <c r="C153" t="s">
        <v>12</v>
      </c>
      <c r="D153" t="s">
        <v>13</v>
      </c>
      <c r="E153" t="s">
        <v>40</v>
      </c>
      <c r="F153" t="s">
        <v>27</v>
      </c>
      <c r="G153">
        <v>2</v>
      </c>
      <c r="H153">
        <v>20000</v>
      </c>
      <c r="I153">
        <v>40000</v>
      </c>
      <c r="J153" t="s">
        <v>16</v>
      </c>
    </row>
    <row r="154" spans="1:10">
      <c r="A154">
        <v>1113</v>
      </c>
      <c r="B154" t="s">
        <v>138</v>
      </c>
      <c r="C154" t="s">
        <v>25</v>
      </c>
      <c r="D154" t="s">
        <v>23</v>
      </c>
      <c r="E154" t="s">
        <v>40</v>
      </c>
      <c r="F154" t="s">
        <v>27</v>
      </c>
      <c r="G154">
        <v>2</v>
      </c>
      <c r="H154">
        <v>20000</v>
      </c>
      <c r="I154">
        <v>40000</v>
      </c>
      <c r="J154" t="s">
        <v>20</v>
      </c>
    </row>
    <row r="155" spans="1:10">
      <c r="A155">
        <v>1125</v>
      </c>
      <c r="B155" t="s">
        <v>145</v>
      </c>
      <c r="C155" t="s">
        <v>47</v>
      </c>
      <c r="D155" t="s">
        <v>18</v>
      </c>
      <c r="E155" t="s">
        <v>14</v>
      </c>
      <c r="F155" t="s">
        <v>15</v>
      </c>
      <c r="G155">
        <v>5</v>
      </c>
      <c r="H155">
        <v>8000</v>
      </c>
      <c r="I155">
        <v>40000</v>
      </c>
      <c r="J155" t="s">
        <v>16</v>
      </c>
    </row>
    <row r="156" spans="1:10">
      <c r="A156">
        <v>1133</v>
      </c>
      <c r="B156" t="s">
        <v>150</v>
      </c>
      <c r="C156" t="s">
        <v>12</v>
      </c>
      <c r="D156" t="s">
        <v>23</v>
      </c>
      <c r="E156" t="s">
        <v>14</v>
      </c>
      <c r="F156" t="s">
        <v>15</v>
      </c>
      <c r="G156">
        <v>5</v>
      </c>
      <c r="H156">
        <v>8000</v>
      </c>
      <c r="I156">
        <v>40000</v>
      </c>
      <c r="J156" t="s">
        <v>34</v>
      </c>
    </row>
    <row r="157" spans="1:10">
      <c r="A157">
        <v>1158</v>
      </c>
      <c r="B157" t="s">
        <v>168</v>
      </c>
      <c r="C157" t="s">
        <v>54</v>
      </c>
      <c r="D157" t="s">
        <v>18</v>
      </c>
      <c r="E157" t="s">
        <v>40</v>
      </c>
      <c r="F157" t="s">
        <v>27</v>
      </c>
      <c r="G157">
        <v>2</v>
      </c>
      <c r="H157">
        <v>20000</v>
      </c>
      <c r="I157">
        <v>40000</v>
      </c>
      <c r="J157" t="s">
        <v>20</v>
      </c>
    </row>
    <row r="158" spans="1:10">
      <c r="A158">
        <v>1180</v>
      </c>
      <c r="B158" t="s">
        <v>140</v>
      </c>
      <c r="C158" t="s">
        <v>32</v>
      </c>
      <c r="D158" t="s">
        <v>13</v>
      </c>
      <c r="E158" t="s">
        <v>14</v>
      </c>
      <c r="F158" t="s">
        <v>15</v>
      </c>
      <c r="G158">
        <v>5</v>
      </c>
      <c r="H158">
        <v>8000</v>
      </c>
      <c r="I158">
        <v>40000</v>
      </c>
      <c r="J158" t="s">
        <v>20</v>
      </c>
    </row>
    <row r="159" spans="1:10">
      <c r="A159">
        <v>1190</v>
      </c>
      <c r="B159" t="s">
        <v>104</v>
      </c>
      <c r="C159" t="s">
        <v>29</v>
      </c>
      <c r="D159" t="s">
        <v>23</v>
      </c>
      <c r="E159" t="s">
        <v>40</v>
      </c>
      <c r="F159" t="s">
        <v>27</v>
      </c>
      <c r="G159">
        <v>2</v>
      </c>
      <c r="H159">
        <v>20000</v>
      </c>
      <c r="I159">
        <v>40000</v>
      </c>
      <c r="J159" t="s">
        <v>34</v>
      </c>
    </row>
    <row r="160" spans="1:10">
      <c r="A160">
        <v>1196</v>
      </c>
      <c r="B160" t="s">
        <v>122</v>
      </c>
      <c r="C160" t="s">
        <v>22</v>
      </c>
      <c r="D160" t="s">
        <v>18</v>
      </c>
      <c r="E160" t="s">
        <v>40</v>
      </c>
      <c r="F160" t="s">
        <v>27</v>
      </c>
      <c r="G160">
        <v>2</v>
      </c>
      <c r="H160">
        <v>20000</v>
      </c>
      <c r="I160">
        <v>40000</v>
      </c>
      <c r="J160" t="s">
        <v>34</v>
      </c>
    </row>
    <row r="161" spans="1:10">
      <c r="A161">
        <v>1202</v>
      </c>
      <c r="B161" t="s">
        <v>196</v>
      </c>
      <c r="C161" t="s">
        <v>42</v>
      </c>
      <c r="D161" t="s">
        <v>23</v>
      </c>
      <c r="E161" t="s">
        <v>14</v>
      </c>
      <c r="F161" t="s">
        <v>15</v>
      </c>
      <c r="G161">
        <v>5</v>
      </c>
      <c r="H161">
        <v>8000</v>
      </c>
      <c r="I161">
        <v>40000</v>
      </c>
      <c r="J161" t="s">
        <v>16</v>
      </c>
    </row>
    <row r="162" spans="1:10">
      <c r="A162">
        <v>1205</v>
      </c>
      <c r="B162" t="s">
        <v>131</v>
      </c>
      <c r="C162" t="s">
        <v>29</v>
      </c>
      <c r="D162" t="s">
        <v>23</v>
      </c>
      <c r="E162" t="s">
        <v>14</v>
      </c>
      <c r="F162" t="s">
        <v>15</v>
      </c>
      <c r="G162">
        <v>5</v>
      </c>
      <c r="H162">
        <v>8000</v>
      </c>
      <c r="I162">
        <v>40000</v>
      </c>
      <c r="J162" t="s">
        <v>38</v>
      </c>
    </row>
    <row r="163" spans="1:10">
      <c r="A163">
        <v>1213</v>
      </c>
      <c r="B163" t="s">
        <v>205</v>
      </c>
      <c r="C163" t="s">
        <v>71</v>
      </c>
      <c r="D163" t="s">
        <v>13</v>
      </c>
      <c r="E163" t="s">
        <v>40</v>
      </c>
      <c r="F163" t="s">
        <v>27</v>
      </c>
      <c r="G163">
        <v>2</v>
      </c>
      <c r="H163">
        <v>20000</v>
      </c>
      <c r="I163">
        <v>40000</v>
      </c>
      <c r="J163" t="s">
        <v>34</v>
      </c>
    </row>
    <row r="164" spans="1:10">
      <c r="A164">
        <v>1214</v>
      </c>
      <c r="B164" t="s">
        <v>112</v>
      </c>
      <c r="C164" t="s">
        <v>29</v>
      </c>
      <c r="D164" t="s">
        <v>18</v>
      </c>
      <c r="E164" t="s">
        <v>14</v>
      </c>
      <c r="F164" t="s">
        <v>15</v>
      </c>
      <c r="G164">
        <v>5</v>
      </c>
      <c r="H164">
        <v>8000</v>
      </c>
      <c r="I164">
        <v>40000</v>
      </c>
      <c r="J164" t="s">
        <v>38</v>
      </c>
    </row>
    <row r="165" spans="1:10">
      <c r="A165">
        <v>1273</v>
      </c>
      <c r="B165" t="s">
        <v>233</v>
      </c>
      <c r="C165" t="s">
        <v>42</v>
      </c>
      <c r="D165" t="s">
        <v>13</v>
      </c>
      <c r="E165" t="s">
        <v>14</v>
      </c>
      <c r="F165" t="s">
        <v>15</v>
      </c>
      <c r="G165">
        <v>5</v>
      </c>
      <c r="H165">
        <v>8000</v>
      </c>
      <c r="I165">
        <v>40000</v>
      </c>
      <c r="J165" t="s">
        <v>16</v>
      </c>
    </row>
    <row r="166" spans="1:10">
      <c r="A166">
        <v>1280</v>
      </c>
      <c r="B166" t="s">
        <v>236</v>
      </c>
      <c r="C166" t="s">
        <v>42</v>
      </c>
      <c r="D166" t="s">
        <v>13</v>
      </c>
      <c r="E166" t="s">
        <v>40</v>
      </c>
      <c r="F166" t="s">
        <v>27</v>
      </c>
      <c r="G166">
        <v>2</v>
      </c>
      <c r="H166">
        <v>20000</v>
      </c>
      <c r="I166">
        <v>40000</v>
      </c>
      <c r="J166" t="s">
        <v>20</v>
      </c>
    </row>
    <row r="167" spans="1:10">
      <c r="A167">
        <v>1311</v>
      </c>
      <c r="B167" t="s">
        <v>175</v>
      </c>
      <c r="C167" t="s">
        <v>22</v>
      </c>
      <c r="D167" t="s">
        <v>23</v>
      </c>
      <c r="E167" t="s">
        <v>14</v>
      </c>
      <c r="F167" t="s">
        <v>15</v>
      </c>
      <c r="G167">
        <v>5</v>
      </c>
      <c r="H167">
        <v>8000</v>
      </c>
      <c r="I167">
        <v>40000</v>
      </c>
      <c r="J167" t="s">
        <v>34</v>
      </c>
    </row>
    <row r="168" spans="1:10">
      <c r="A168">
        <v>1319</v>
      </c>
      <c r="B168" t="s">
        <v>249</v>
      </c>
      <c r="C168" t="s">
        <v>71</v>
      </c>
      <c r="D168" t="s">
        <v>23</v>
      </c>
      <c r="E168" t="s">
        <v>40</v>
      </c>
      <c r="F168" t="s">
        <v>27</v>
      </c>
      <c r="G168">
        <v>2</v>
      </c>
      <c r="H168">
        <v>20000</v>
      </c>
      <c r="I168">
        <v>40000</v>
      </c>
      <c r="J168" t="s">
        <v>38</v>
      </c>
    </row>
    <row r="169" spans="1:10">
      <c r="A169">
        <v>1321</v>
      </c>
      <c r="B169" t="s">
        <v>242</v>
      </c>
      <c r="C169" t="s">
        <v>32</v>
      </c>
      <c r="D169" t="s">
        <v>30</v>
      </c>
      <c r="E169" t="s">
        <v>40</v>
      </c>
      <c r="F169" t="s">
        <v>27</v>
      </c>
      <c r="G169">
        <v>2</v>
      </c>
      <c r="H169">
        <v>20000</v>
      </c>
      <c r="I169">
        <v>40000</v>
      </c>
      <c r="J169" t="s">
        <v>34</v>
      </c>
    </row>
    <row r="170" spans="1:10">
      <c r="A170">
        <v>1342</v>
      </c>
      <c r="B170" t="s">
        <v>255</v>
      </c>
      <c r="C170" t="s">
        <v>25</v>
      </c>
      <c r="D170" t="s">
        <v>23</v>
      </c>
      <c r="E170" t="s">
        <v>40</v>
      </c>
      <c r="F170" t="s">
        <v>27</v>
      </c>
      <c r="G170">
        <v>2</v>
      </c>
      <c r="H170">
        <v>20000</v>
      </c>
      <c r="I170">
        <v>40000</v>
      </c>
      <c r="J170" t="s">
        <v>38</v>
      </c>
    </row>
    <row r="171" spans="1:10">
      <c r="A171">
        <v>1385</v>
      </c>
      <c r="B171" t="s">
        <v>88</v>
      </c>
      <c r="C171" t="s">
        <v>25</v>
      </c>
      <c r="D171" t="s">
        <v>30</v>
      </c>
      <c r="E171" t="s">
        <v>40</v>
      </c>
      <c r="F171" t="s">
        <v>27</v>
      </c>
      <c r="G171">
        <v>2</v>
      </c>
      <c r="H171">
        <v>20000</v>
      </c>
      <c r="I171">
        <v>40000</v>
      </c>
      <c r="J171" t="s">
        <v>34</v>
      </c>
    </row>
    <row r="172" spans="1:10">
      <c r="A172">
        <v>1425</v>
      </c>
      <c r="B172" t="s">
        <v>102</v>
      </c>
      <c r="C172" t="s">
        <v>22</v>
      </c>
      <c r="D172" t="s">
        <v>30</v>
      </c>
      <c r="E172" t="s">
        <v>14</v>
      </c>
      <c r="F172" t="s">
        <v>15</v>
      </c>
      <c r="G172">
        <v>5</v>
      </c>
      <c r="H172">
        <v>8000</v>
      </c>
      <c r="I172">
        <v>40000</v>
      </c>
      <c r="J172" t="s">
        <v>20</v>
      </c>
    </row>
    <row r="173" spans="1:10">
      <c r="A173">
        <v>1432</v>
      </c>
      <c r="B173" t="s">
        <v>72</v>
      </c>
      <c r="C173" t="s">
        <v>29</v>
      </c>
      <c r="D173" t="s">
        <v>30</v>
      </c>
      <c r="E173" t="s">
        <v>14</v>
      </c>
      <c r="F173" t="s">
        <v>15</v>
      </c>
      <c r="G173">
        <v>5</v>
      </c>
      <c r="H173">
        <v>8000</v>
      </c>
      <c r="I173">
        <v>40000</v>
      </c>
      <c r="J173" t="s">
        <v>34</v>
      </c>
    </row>
    <row r="174" spans="1:10">
      <c r="A174">
        <v>1436</v>
      </c>
      <c r="B174" t="s">
        <v>290</v>
      </c>
      <c r="C174" t="s">
        <v>32</v>
      </c>
      <c r="D174" t="s">
        <v>13</v>
      </c>
      <c r="E174" t="s">
        <v>40</v>
      </c>
      <c r="F174" t="s">
        <v>27</v>
      </c>
      <c r="G174">
        <v>2</v>
      </c>
      <c r="H174">
        <v>20000</v>
      </c>
      <c r="I174">
        <v>40000</v>
      </c>
      <c r="J174" t="s">
        <v>38</v>
      </c>
    </row>
    <row r="175" spans="1:10">
      <c r="A175">
        <v>1449</v>
      </c>
      <c r="B175" t="s">
        <v>295</v>
      </c>
      <c r="C175" t="s">
        <v>22</v>
      </c>
      <c r="D175" t="s">
        <v>13</v>
      </c>
      <c r="E175" t="s">
        <v>14</v>
      </c>
      <c r="F175" t="s">
        <v>15</v>
      </c>
      <c r="G175">
        <v>5</v>
      </c>
      <c r="H175">
        <v>8000</v>
      </c>
      <c r="I175">
        <v>40000</v>
      </c>
      <c r="J175" t="s">
        <v>34</v>
      </c>
    </row>
    <row r="176" spans="1:10">
      <c r="A176">
        <v>1463</v>
      </c>
      <c r="B176" t="s">
        <v>232</v>
      </c>
      <c r="C176" t="s">
        <v>47</v>
      </c>
      <c r="D176" t="s">
        <v>13</v>
      </c>
      <c r="E176" t="s">
        <v>14</v>
      </c>
      <c r="F176" t="s">
        <v>15</v>
      </c>
      <c r="G176">
        <v>5</v>
      </c>
      <c r="H176">
        <v>8000</v>
      </c>
      <c r="I176">
        <v>40000</v>
      </c>
      <c r="J176" t="s">
        <v>38</v>
      </c>
    </row>
    <row r="177" spans="1:10">
      <c r="A177">
        <v>1486</v>
      </c>
      <c r="B177" t="s">
        <v>267</v>
      </c>
      <c r="C177" t="s">
        <v>12</v>
      </c>
      <c r="D177" t="s">
        <v>23</v>
      </c>
      <c r="E177" t="s">
        <v>40</v>
      </c>
      <c r="F177" t="s">
        <v>27</v>
      </c>
      <c r="G177">
        <v>2</v>
      </c>
      <c r="H177">
        <v>20000</v>
      </c>
      <c r="I177">
        <v>40000</v>
      </c>
      <c r="J177" t="s">
        <v>34</v>
      </c>
    </row>
    <row r="178" spans="1:10">
      <c r="A178">
        <v>1489</v>
      </c>
      <c r="B178" t="s">
        <v>145</v>
      </c>
      <c r="C178" t="s">
        <v>42</v>
      </c>
      <c r="D178" t="s">
        <v>13</v>
      </c>
      <c r="E178" t="s">
        <v>14</v>
      </c>
      <c r="F178" t="s">
        <v>15</v>
      </c>
      <c r="G178">
        <v>5</v>
      </c>
      <c r="H178">
        <v>8000</v>
      </c>
      <c r="I178">
        <v>40000</v>
      </c>
      <c r="J178" t="s">
        <v>16</v>
      </c>
    </row>
    <row r="179" spans="1:10">
      <c r="A179">
        <v>1075</v>
      </c>
      <c r="B179" t="s">
        <v>109</v>
      </c>
      <c r="C179" t="s">
        <v>47</v>
      </c>
      <c r="D179" t="s">
        <v>18</v>
      </c>
      <c r="E179" t="s">
        <v>14</v>
      </c>
      <c r="F179" t="s">
        <v>15</v>
      </c>
      <c r="G179">
        <v>4</v>
      </c>
      <c r="H179">
        <v>8000</v>
      </c>
      <c r="I179">
        <v>32000</v>
      </c>
      <c r="J179" t="s">
        <v>38</v>
      </c>
    </row>
    <row r="180" spans="1:10">
      <c r="A180">
        <v>1087</v>
      </c>
      <c r="B180" t="s">
        <v>117</v>
      </c>
      <c r="C180" t="s">
        <v>60</v>
      </c>
      <c r="D180" t="s">
        <v>30</v>
      </c>
      <c r="E180" t="s">
        <v>14</v>
      </c>
      <c r="F180" t="s">
        <v>15</v>
      </c>
      <c r="G180">
        <v>4</v>
      </c>
      <c r="H180">
        <v>8000</v>
      </c>
      <c r="I180">
        <v>32000</v>
      </c>
      <c r="J180" t="s">
        <v>34</v>
      </c>
    </row>
    <row r="181" spans="1:10">
      <c r="A181">
        <v>1181</v>
      </c>
      <c r="B181" t="s">
        <v>183</v>
      </c>
      <c r="C181" t="s">
        <v>32</v>
      </c>
      <c r="D181" t="s">
        <v>23</v>
      </c>
      <c r="E181" t="s">
        <v>14</v>
      </c>
      <c r="F181" t="s">
        <v>15</v>
      </c>
      <c r="G181">
        <v>4</v>
      </c>
      <c r="H181">
        <v>8000</v>
      </c>
      <c r="I181">
        <v>32000</v>
      </c>
      <c r="J181" t="s">
        <v>34</v>
      </c>
    </row>
    <row r="182" spans="1:10">
      <c r="A182">
        <v>1231</v>
      </c>
      <c r="B182" t="s">
        <v>151</v>
      </c>
      <c r="C182" t="s">
        <v>32</v>
      </c>
      <c r="D182" t="s">
        <v>18</v>
      </c>
      <c r="E182" t="s">
        <v>14</v>
      </c>
      <c r="F182" t="s">
        <v>15</v>
      </c>
      <c r="G182">
        <v>4</v>
      </c>
      <c r="H182">
        <v>8000</v>
      </c>
      <c r="I182">
        <v>32000</v>
      </c>
      <c r="J182" t="s">
        <v>16</v>
      </c>
    </row>
    <row r="183" spans="1:10">
      <c r="A183">
        <v>1250</v>
      </c>
      <c r="B183" t="s">
        <v>221</v>
      </c>
      <c r="C183" t="s">
        <v>29</v>
      </c>
      <c r="D183" t="s">
        <v>30</v>
      </c>
      <c r="E183" t="s">
        <v>14</v>
      </c>
      <c r="F183" t="s">
        <v>15</v>
      </c>
      <c r="G183">
        <v>4</v>
      </c>
      <c r="H183">
        <v>8000</v>
      </c>
      <c r="I183">
        <v>32000</v>
      </c>
      <c r="J183" t="s">
        <v>38</v>
      </c>
    </row>
    <row r="184" spans="1:10">
      <c r="A184">
        <v>1282</v>
      </c>
      <c r="B184" t="s">
        <v>237</v>
      </c>
      <c r="C184" t="s">
        <v>22</v>
      </c>
      <c r="D184" t="s">
        <v>18</v>
      </c>
      <c r="E184" t="s">
        <v>14</v>
      </c>
      <c r="F184" t="s">
        <v>15</v>
      </c>
      <c r="G184">
        <v>4</v>
      </c>
      <c r="H184">
        <v>8000</v>
      </c>
      <c r="I184">
        <v>32000</v>
      </c>
      <c r="J184" t="s">
        <v>34</v>
      </c>
    </row>
    <row r="185" spans="1:10">
      <c r="A185">
        <v>1417</v>
      </c>
      <c r="B185" t="s">
        <v>190</v>
      </c>
      <c r="C185" t="s">
        <v>12</v>
      </c>
      <c r="D185" t="s">
        <v>18</v>
      </c>
      <c r="E185" t="s">
        <v>14</v>
      </c>
      <c r="F185" t="s">
        <v>15</v>
      </c>
      <c r="G185">
        <v>4</v>
      </c>
      <c r="H185">
        <v>8000</v>
      </c>
      <c r="I185">
        <v>32000</v>
      </c>
      <c r="J185" t="s">
        <v>16</v>
      </c>
    </row>
    <row r="186" spans="1:10">
      <c r="A186">
        <v>1453</v>
      </c>
      <c r="B186" t="s">
        <v>125</v>
      </c>
      <c r="C186" t="s">
        <v>54</v>
      </c>
      <c r="D186" t="s">
        <v>30</v>
      </c>
      <c r="E186" t="s">
        <v>14</v>
      </c>
      <c r="F186" t="s">
        <v>15</v>
      </c>
      <c r="G186">
        <v>4</v>
      </c>
      <c r="H186">
        <v>8000</v>
      </c>
      <c r="I186">
        <v>32000</v>
      </c>
      <c r="J186" t="s">
        <v>38</v>
      </c>
    </row>
    <row r="187" spans="1:10">
      <c r="A187">
        <v>1004</v>
      </c>
      <c r="B187" t="s">
        <v>24</v>
      </c>
      <c r="C187" t="s">
        <v>25</v>
      </c>
      <c r="D187" t="s">
        <v>18</v>
      </c>
      <c r="E187" t="s">
        <v>26</v>
      </c>
      <c r="F187" t="s">
        <v>27</v>
      </c>
      <c r="G187">
        <v>2</v>
      </c>
      <c r="H187">
        <v>15000</v>
      </c>
      <c r="I187">
        <v>30000</v>
      </c>
      <c r="J187" t="s">
        <v>20</v>
      </c>
    </row>
    <row r="188" spans="1:10">
      <c r="A188">
        <v>1055</v>
      </c>
      <c r="B188" t="s">
        <v>89</v>
      </c>
      <c r="C188" t="s">
        <v>29</v>
      </c>
      <c r="D188" t="s">
        <v>13</v>
      </c>
      <c r="E188" t="s">
        <v>26</v>
      </c>
      <c r="F188" t="s">
        <v>27</v>
      </c>
      <c r="G188">
        <v>2</v>
      </c>
      <c r="H188">
        <v>15000</v>
      </c>
      <c r="I188">
        <v>30000</v>
      </c>
      <c r="J188" t="s">
        <v>20</v>
      </c>
    </row>
    <row r="189" spans="1:10">
      <c r="A189">
        <v>1135</v>
      </c>
      <c r="B189" t="s">
        <v>68</v>
      </c>
      <c r="C189" t="s">
        <v>12</v>
      </c>
      <c r="D189" t="s">
        <v>18</v>
      </c>
      <c r="E189" t="s">
        <v>26</v>
      </c>
      <c r="F189" t="s">
        <v>27</v>
      </c>
      <c r="G189">
        <v>2</v>
      </c>
      <c r="H189">
        <v>15000</v>
      </c>
      <c r="I189">
        <v>30000</v>
      </c>
      <c r="J189" t="s">
        <v>16</v>
      </c>
    </row>
    <row r="190" spans="1:10">
      <c r="A190">
        <v>1253</v>
      </c>
      <c r="B190" t="s">
        <v>160</v>
      </c>
      <c r="C190" t="s">
        <v>32</v>
      </c>
      <c r="D190" t="s">
        <v>13</v>
      </c>
      <c r="E190" t="s">
        <v>26</v>
      </c>
      <c r="F190" t="s">
        <v>27</v>
      </c>
      <c r="G190">
        <v>2</v>
      </c>
      <c r="H190">
        <v>15000</v>
      </c>
      <c r="I190">
        <v>30000</v>
      </c>
      <c r="J190" t="s">
        <v>16</v>
      </c>
    </row>
    <row r="191" spans="1:10">
      <c r="A191">
        <v>1301</v>
      </c>
      <c r="B191" t="s">
        <v>17</v>
      </c>
      <c r="C191" t="s">
        <v>29</v>
      </c>
      <c r="D191" t="s">
        <v>23</v>
      </c>
      <c r="E191" t="s">
        <v>26</v>
      </c>
      <c r="F191" t="s">
        <v>27</v>
      </c>
      <c r="G191">
        <v>2</v>
      </c>
      <c r="H191">
        <v>15000</v>
      </c>
      <c r="I191">
        <v>30000</v>
      </c>
      <c r="J191" t="s">
        <v>38</v>
      </c>
    </row>
    <row r="192" spans="1:10">
      <c r="A192">
        <v>1386</v>
      </c>
      <c r="B192" t="s">
        <v>274</v>
      </c>
      <c r="C192" t="s">
        <v>29</v>
      </c>
      <c r="D192" t="s">
        <v>30</v>
      </c>
      <c r="E192" t="s">
        <v>26</v>
      </c>
      <c r="F192" t="s">
        <v>27</v>
      </c>
      <c r="G192">
        <v>2</v>
      </c>
      <c r="H192">
        <v>15000</v>
      </c>
      <c r="I192">
        <v>30000</v>
      </c>
      <c r="J192" t="s">
        <v>16</v>
      </c>
    </row>
    <row r="193" spans="1:10">
      <c r="A193">
        <v>1390</v>
      </c>
      <c r="B193" t="s">
        <v>276</v>
      </c>
      <c r="C193" t="s">
        <v>22</v>
      </c>
      <c r="D193" t="s">
        <v>13</v>
      </c>
      <c r="E193" t="s">
        <v>26</v>
      </c>
      <c r="F193" t="s">
        <v>27</v>
      </c>
      <c r="G193">
        <v>2</v>
      </c>
      <c r="H193">
        <v>15000</v>
      </c>
      <c r="I193">
        <v>30000</v>
      </c>
      <c r="J193" t="s">
        <v>38</v>
      </c>
    </row>
    <row r="194" spans="1:10">
      <c r="A194">
        <v>1398</v>
      </c>
      <c r="B194" t="s">
        <v>280</v>
      </c>
      <c r="C194" t="s">
        <v>47</v>
      </c>
      <c r="D194" t="s">
        <v>13</v>
      </c>
      <c r="E194" t="s">
        <v>26</v>
      </c>
      <c r="F194" t="s">
        <v>27</v>
      </c>
      <c r="G194">
        <v>2</v>
      </c>
      <c r="H194">
        <v>15000</v>
      </c>
      <c r="I194">
        <v>30000</v>
      </c>
      <c r="J194" t="s">
        <v>20</v>
      </c>
    </row>
    <row r="195" spans="1:10">
      <c r="A195">
        <v>1428</v>
      </c>
      <c r="B195" t="s">
        <v>286</v>
      </c>
      <c r="C195" t="s">
        <v>25</v>
      </c>
      <c r="D195" t="s">
        <v>13</v>
      </c>
      <c r="E195" t="s">
        <v>26</v>
      </c>
      <c r="F195" t="s">
        <v>27</v>
      </c>
      <c r="G195">
        <v>2</v>
      </c>
      <c r="H195">
        <v>15000</v>
      </c>
      <c r="I195">
        <v>30000</v>
      </c>
      <c r="J195" t="s">
        <v>34</v>
      </c>
    </row>
    <row r="196" spans="1:10">
      <c r="A196">
        <v>1464</v>
      </c>
      <c r="B196" t="s">
        <v>151</v>
      </c>
      <c r="C196" t="s">
        <v>25</v>
      </c>
      <c r="D196" t="s">
        <v>30</v>
      </c>
      <c r="E196" t="s">
        <v>26</v>
      </c>
      <c r="F196" t="s">
        <v>27</v>
      </c>
      <c r="G196">
        <v>2</v>
      </c>
      <c r="H196">
        <v>15000</v>
      </c>
      <c r="I196">
        <v>30000</v>
      </c>
      <c r="J196" t="s">
        <v>38</v>
      </c>
    </row>
    <row r="197" spans="1:10">
      <c r="A197">
        <v>1469</v>
      </c>
      <c r="B197" t="s">
        <v>301</v>
      </c>
      <c r="C197" t="s">
        <v>29</v>
      </c>
      <c r="D197" t="s">
        <v>18</v>
      </c>
      <c r="E197" t="s">
        <v>26</v>
      </c>
      <c r="F197" t="s">
        <v>27</v>
      </c>
      <c r="G197">
        <v>2</v>
      </c>
      <c r="H197">
        <v>15000</v>
      </c>
      <c r="I197">
        <v>30000</v>
      </c>
      <c r="J197" t="s">
        <v>16</v>
      </c>
    </row>
    <row r="198" spans="1:10">
      <c r="A198">
        <v>1496</v>
      </c>
      <c r="B198" t="s">
        <v>270</v>
      </c>
      <c r="C198" t="s">
        <v>29</v>
      </c>
      <c r="D198" t="s">
        <v>23</v>
      </c>
      <c r="E198" t="s">
        <v>26</v>
      </c>
      <c r="F198" t="s">
        <v>27</v>
      </c>
      <c r="G198">
        <v>2</v>
      </c>
      <c r="H198">
        <v>15000</v>
      </c>
      <c r="I198">
        <v>30000</v>
      </c>
      <c r="J198" t="s">
        <v>16</v>
      </c>
    </row>
    <row r="199" spans="1:10">
      <c r="A199">
        <v>1001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>
        <v>3</v>
      </c>
      <c r="H199">
        <v>8000</v>
      </c>
      <c r="I199">
        <v>24000</v>
      </c>
      <c r="J199" t="s">
        <v>16</v>
      </c>
    </row>
    <row r="200" spans="1:10">
      <c r="A200">
        <v>1090</v>
      </c>
      <c r="B200" t="s">
        <v>119</v>
      </c>
      <c r="C200" t="s">
        <v>54</v>
      </c>
      <c r="D200" t="s">
        <v>30</v>
      </c>
      <c r="E200" t="s">
        <v>14</v>
      </c>
      <c r="F200" t="s">
        <v>15</v>
      </c>
      <c r="G200">
        <v>3</v>
      </c>
      <c r="H200">
        <v>8000</v>
      </c>
      <c r="I200">
        <v>24000</v>
      </c>
      <c r="J200" t="s">
        <v>38</v>
      </c>
    </row>
    <row r="201" spans="1:10">
      <c r="A201">
        <v>1139</v>
      </c>
      <c r="B201" t="s">
        <v>155</v>
      </c>
      <c r="C201" t="s">
        <v>25</v>
      </c>
      <c r="D201" t="s">
        <v>13</v>
      </c>
      <c r="E201" t="s">
        <v>14</v>
      </c>
      <c r="F201" t="s">
        <v>15</v>
      </c>
      <c r="G201">
        <v>3</v>
      </c>
      <c r="H201">
        <v>8000</v>
      </c>
      <c r="I201">
        <v>24000</v>
      </c>
      <c r="J201" t="s">
        <v>38</v>
      </c>
    </row>
    <row r="202" spans="1:10">
      <c r="A202">
        <v>1169</v>
      </c>
      <c r="B202" t="s">
        <v>103</v>
      </c>
      <c r="C202" t="s">
        <v>22</v>
      </c>
      <c r="D202" t="s">
        <v>30</v>
      </c>
      <c r="E202" t="s">
        <v>14</v>
      </c>
      <c r="F202" t="s">
        <v>15</v>
      </c>
      <c r="G202">
        <v>3</v>
      </c>
      <c r="H202">
        <v>8000</v>
      </c>
      <c r="I202">
        <v>24000</v>
      </c>
      <c r="J202" t="s">
        <v>38</v>
      </c>
    </row>
    <row r="203" spans="1:10">
      <c r="A203">
        <v>1172</v>
      </c>
      <c r="B203" t="s">
        <v>11</v>
      </c>
      <c r="C203" t="s">
        <v>60</v>
      </c>
      <c r="D203" t="s">
        <v>30</v>
      </c>
      <c r="E203" t="s">
        <v>14</v>
      </c>
      <c r="F203" t="s">
        <v>15</v>
      </c>
      <c r="G203">
        <v>3</v>
      </c>
      <c r="H203">
        <v>8000</v>
      </c>
      <c r="I203">
        <v>24000</v>
      </c>
      <c r="J203" t="s">
        <v>34</v>
      </c>
    </row>
    <row r="204" spans="1:10">
      <c r="A204">
        <v>1235</v>
      </c>
      <c r="B204" t="s">
        <v>55</v>
      </c>
      <c r="C204" t="s">
        <v>60</v>
      </c>
      <c r="D204" t="s">
        <v>23</v>
      </c>
      <c r="E204" t="s">
        <v>14</v>
      </c>
      <c r="F204" t="s">
        <v>15</v>
      </c>
      <c r="G204">
        <v>3</v>
      </c>
      <c r="H204">
        <v>8000</v>
      </c>
      <c r="I204">
        <v>24000</v>
      </c>
      <c r="J204" t="s">
        <v>34</v>
      </c>
    </row>
    <row r="205" spans="1:10">
      <c r="A205">
        <v>1369</v>
      </c>
      <c r="B205" t="s">
        <v>155</v>
      </c>
      <c r="C205" t="s">
        <v>32</v>
      </c>
      <c r="D205" t="s">
        <v>18</v>
      </c>
      <c r="E205" t="s">
        <v>14</v>
      </c>
      <c r="F205" t="s">
        <v>15</v>
      </c>
      <c r="G205">
        <v>3</v>
      </c>
      <c r="H205">
        <v>8000</v>
      </c>
      <c r="I205">
        <v>24000</v>
      </c>
      <c r="J205" t="s">
        <v>34</v>
      </c>
    </row>
    <row r="206" spans="1:10">
      <c r="A206">
        <v>1376</v>
      </c>
      <c r="B206" t="s">
        <v>267</v>
      </c>
      <c r="C206" t="s">
        <v>71</v>
      </c>
      <c r="D206" t="s">
        <v>18</v>
      </c>
      <c r="E206" t="s">
        <v>14</v>
      </c>
      <c r="F206" t="s">
        <v>15</v>
      </c>
      <c r="G206">
        <v>3</v>
      </c>
      <c r="H206">
        <v>8000</v>
      </c>
      <c r="I206">
        <v>24000</v>
      </c>
      <c r="J206" t="s">
        <v>34</v>
      </c>
    </row>
    <row r="207" spans="1:10">
      <c r="A207">
        <v>1379</v>
      </c>
      <c r="B207" t="s">
        <v>269</v>
      </c>
      <c r="C207" t="s">
        <v>32</v>
      </c>
      <c r="D207" t="s">
        <v>23</v>
      </c>
      <c r="E207" t="s">
        <v>14</v>
      </c>
      <c r="F207" t="s">
        <v>15</v>
      </c>
      <c r="G207">
        <v>3</v>
      </c>
      <c r="H207">
        <v>8000</v>
      </c>
      <c r="I207">
        <v>24000</v>
      </c>
      <c r="J207" t="s">
        <v>20</v>
      </c>
    </row>
    <row r="208" spans="1:10">
      <c r="A208">
        <v>1391</v>
      </c>
      <c r="B208" t="s">
        <v>271</v>
      </c>
      <c r="C208" t="s">
        <v>29</v>
      </c>
      <c r="D208" t="s">
        <v>13</v>
      </c>
      <c r="E208" t="s">
        <v>14</v>
      </c>
      <c r="F208" t="s">
        <v>15</v>
      </c>
      <c r="G208">
        <v>3</v>
      </c>
      <c r="H208">
        <v>8000</v>
      </c>
      <c r="I208">
        <v>24000</v>
      </c>
      <c r="J208" t="s">
        <v>34</v>
      </c>
    </row>
    <row r="209" spans="1:10">
      <c r="A209">
        <v>1407</v>
      </c>
      <c r="B209" t="s">
        <v>102</v>
      </c>
      <c r="C209" t="s">
        <v>32</v>
      </c>
      <c r="D209" t="s">
        <v>18</v>
      </c>
      <c r="E209" t="s">
        <v>14</v>
      </c>
      <c r="F209" t="s">
        <v>15</v>
      </c>
      <c r="G209">
        <v>3</v>
      </c>
      <c r="H209">
        <v>8000</v>
      </c>
      <c r="I209">
        <v>24000</v>
      </c>
      <c r="J209" t="s">
        <v>20</v>
      </c>
    </row>
    <row r="210" spans="1:10">
      <c r="A210">
        <v>1455</v>
      </c>
      <c r="B210" t="s">
        <v>17</v>
      </c>
      <c r="C210" t="s">
        <v>71</v>
      </c>
      <c r="D210" t="s">
        <v>23</v>
      </c>
      <c r="E210" t="s">
        <v>14</v>
      </c>
      <c r="F210" t="s">
        <v>15</v>
      </c>
      <c r="G210">
        <v>3</v>
      </c>
      <c r="H210">
        <v>8000</v>
      </c>
      <c r="I210">
        <v>24000</v>
      </c>
      <c r="J210" t="s">
        <v>34</v>
      </c>
    </row>
    <row r="211" spans="1:10">
      <c r="A211">
        <v>1476</v>
      </c>
      <c r="B211" t="s">
        <v>302</v>
      </c>
      <c r="C211" t="s">
        <v>12</v>
      </c>
      <c r="D211" t="s">
        <v>18</v>
      </c>
      <c r="E211" t="s">
        <v>14</v>
      </c>
      <c r="F211" t="s">
        <v>15</v>
      </c>
      <c r="G211">
        <v>3</v>
      </c>
      <c r="H211">
        <v>8000</v>
      </c>
      <c r="I211">
        <v>24000</v>
      </c>
      <c r="J211" t="s">
        <v>38</v>
      </c>
    </row>
    <row r="212" spans="1:10">
      <c r="A212">
        <v>1043</v>
      </c>
      <c r="B212" t="s">
        <v>81</v>
      </c>
      <c r="C212" t="s">
        <v>60</v>
      </c>
      <c r="D212" t="s">
        <v>23</v>
      </c>
      <c r="E212" t="s">
        <v>19</v>
      </c>
      <c r="F212" t="s">
        <v>15</v>
      </c>
      <c r="G212">
        <v>5</v>
      </c>
      <c r="H212">
        <v>4500</v>
      </c>
      <c r="I212">
        <v>22500</v>
      </c>
      <c r="J212" t="s">
        <v>38</v>
      </c>
    </row>
    <row r="213" spans="1:10">
      <c r="A213">
        <v>1110</v>
      </c>
      <c r="B213" t="s">
        <v>136</v>
      </c>
      <c r="C213" t="s">
        <v>42</v>
      </c>
      <c r="D213" t="s">
        <v>23</v>
      </c>
      <c r="E213" t="s">
        <v>19</v>
      </c>
      <c r="F213" t="s">
        <v>15</v>
      </c>
      <c r="G213">
        <v>5</v>
      </c>
      <c r="H213">
        <v>4500</v>
      </c>
      <c r="I213">
        <v>22500</v>
      </c>
      <c r="J213" t="s">
        <v>34</v>
      </c>
    </row>
    <row r="214" spans="1:10">
      <c r="A214">
        <v>1127</v>
      </c>
      <c r="B214" t="s">
        <v>147</v>
      </c>
      <c r="C214" t="s">
        <v>71</v>
      </c>
      <c r="D214" t="s">
        <v>18</v>
      </c>
      <c r="E214" t="s">
        <v>19</v>
      </c>
      <c r="F214" t="s">
        <v>15</v>
      </c>
      <c r="G214">
        <v>5</v>
      </c>
      <c r="H214">
        <v>4500</v>
      </c>
      <c r="I214">
        <v>22500</v>
      </c>
      <c r="J214" t="s">
        <v>38</v>
      </c>
    </row>
    <row r="215" spans="1:10">
      <c r="A215">
        <v>1156</v>
      </c>
      <c r="B215" t="s">
        <v>166</v>
      </c>
      <c r="C215" t="s">
        <v>42</v>
      </c>
      <c r="D215" t="s">
        <v>30</v>
      </c>
      <c r="E215" t="s">
        <v>19</v>
      </c>
      <c r="F215" t="s">
        <v>15</v>
      </c>
      <c r="G215">
        <v>5</v>
      </c>
      <c r="H215">
        <v>4500</v>
      </c>
      <c r="I215">
        <v>22500</v>
      </c>
      <c r="J215" t="s">
        <v>34</v>
      </c>
    </row>
    <row r="216" spans="1:10">
      <c r="A216">
        <v>1163</v>
      </c>
      <c r="B216" t="s">
        <v>150</v>
      </c>
      <c r="C216" t="s">
        <v>29</v>
      </c>
      <c r="D216" t="s">
        <v>23</v>
      </c>
      <c r="E216" t="s">
        <v>19</v>
      </c>
      <c r="F216" t="s">
        <v>15</v>
      </c>
      <c r="G216">
        <v>5</v>
      </c>
      <c r="H216">
        <v>4500</v>
      </c>
      <c r="I216">
        <v>22500</v>
      </c>
      <c r="J216" t="s">
        <v>34</v>
      </c>
    </row>
    <row r="217" spans="1:10">
      <c r="A217">
        <v>1195</v>
      </c>
      <c r="B217" t="s">
        <v>191</v>
      </c>
      <c r="C217" t="s">
        <v>42</v>
      </c>
      <c r="D217" t="s">
        <v>13</v>
      </c>
      <c r="E217" t="s">
        <v>19</v>
      </c>
      <c r="F217" t="s">
        <v>15</v>
      </c>
      <c r="G217">
        <v>5</v>
      </c>
      <c r="H217">
        <v>4500</v>
      </c>
      <c r="I217">
        <v>22500</v>
      </c>
      <c r="J217" t="s">
        <v>38</v>
      </c>
    </row>
    <row r="218" spans="1:10">
      <c r="A218">
        <v>1227</v>
      </c>
      <c r="B218" t="s">
        <v>211</v>
      </c>
      <c r="C218" t="s">
        <v>47</v>
      </c>
      <c r="D218" t="s">
        <v>18</v>
      </c>
      <c r="E218" t="s">
        <v>19</v>
      </c>
      <c r="F218" t="s">
        <v>15</v>
      </c>
      <c r="G218">
        <v>5</v>
      </c>
      <c r="H218">
        <v>4500</v>
      </c>
      <c r="I218">
        <v>22500</v>
      </c>
      <c r="J218" t="s">
        <v>34</v>
      </c>
    </row>
    <row r="219" spans="1:10">
      <c r="A219">
        <v>1240</v>
      </c>
      <c r="B219" t="s">
        <v>216</v>
      </c>
      <c r="C219" t="s">
        <v>54</v>
      </c>
      <c r="D219" t="s">
        <v>18</v>
      </c>
      <c r="E219" t="s">
        <v>19</v>
      </c>
      <c r="F219" t="s">
        <v>15</v>
      </c>
      <c r="G219">
        <v>5</v>
      </c>
      <c r="H219">
        <v>4500</v>
      </c>
      <c r="I219">
        <v>22500</v>
      </c>
      <c r="J219" t="s">
        <v>38</v>
      </c>
    </row>
    <row r="220" spans="1:10">
      <c r="A220">
        <v>1267</v>
      </c>
      <c r="B220" t="s">
        <v>196</v>
      </c>
      <c r="C220" t="s">
        <v>32</v>
      </c>
      <c r="D220" t="s">
        <v>13</v>
      </c>
      <c r="E220" t="s">
        <v>19</v>
      </c>
      <c r="F220" t="s">
        <v>15</v>
      </c>
      <c r="G220">
        <v>5</v>
      </c>
      <c r="H220">
        <v>4500</v>
      </c>
      <c r="I220">
        <v>22500</v>
      </c>
      <c r="J220" t="s">
        <v>34</v>
      </c>
    </row>
    <row r="221" spans="1:10">
      <c r="A221">
        <v>1278</v>
      </c>
      <c r="B221" t="s">
        <v>234</v>
      </c>
      <c r="C221" t="s">
        <v>47</v>
      </c>
      <c r="D221" t="s">
        <v>23</v>
      </c>
      <c r="E221" t="s">
        <v>19</v>
      </c>
      <c r="F221" t="s">
        <v>15</v>
      </c>
      <c r="G221">
        <v>5</v>
      </c>
      <c r="H221">
        <v>4500</v>
      </c>
      <c r="I221">
        <v>22500</v>
      </c>
      <c r="J221" t="s">
        <v>34</v>
      </c>
    </row>
    <row r="222" spans="1:10">
      <c r="A222">
        <v>1473</v>
      </c>
      <c r="B222" t="s">
        <v>163</v>
      </c>
      <c r="C222" t="s">
        <v>32</v>
      </c>
      <c r="D222" t="s">
        <v>18</v>
      </c>
      <c r="E222" t="s">
        <v>19</v>
      </c>
      <c r="F222" t="s">
        <v>15</v>
      </c>
      <c r="G222">
        <v>5</v>
      </c>
      <c r="H222">
        <v>4500</v>
      </c>
      <c r="I222">
        <v>22500</v>
      </c>
      <c r="J222" t="s">
        <v>34</v>
      </c>
    </row>
    <row r="223" spans="1:10">
      <c r="A223">
        <v>1478</v>
      </c>
      <c r="B223" t="s">
        <v>168</v>
      </c>
      <c r="C223" t="s">
        <v>32</v>
      </c>
      <c r="D223" t="s">
        <v>30</v>
      </c>
      <c r="E223" t="s">
        <v>19</v>
      </c>
      <c r="F223" t="s">
        <v>15</v>
      </c>
      <c r="G223">
        <v>5</v>
      </c>
      <c r="H223">
        <v>4500</v>
      </c>
      <c r="I223">
        <v>22500</v>
      </c>
      <c r="J223" t="s">
        <v>20</v>
      </c>
    </row>
    <row r="224" spans="1:10">
      <c r="A224">
        <v>1015</v>
      </c>
      <c r="B224" t="s">
        <v>39</v>
      </c>
      <c r="C224" t="s">
        <v>32</v>
      </c>
      <c r="D224" t="s">
        <v>13</v>
      </c>
      <c r="E224" t="s">
        <v>40</v>
      </c>
      <c r="F224" t="s">
        <v>27</v>
      </c>
      <c r="G224">
        <v>1</v>
      </c>
      <c r="H224">
        <v>20000</v>
      </c>
      <c r="I224">
        <v>20000</v>
      </c>
      <c r="J224" t="s">
        <v>34</v>
      </c>
    </row>
    <row r="225" spans="1:10">
      <c r="A225">
        <v>1030</v>
      </c>
      <c r="B225" t="s">
        <v>68</v>
      </c>
      <c r="C225" t="s">
        <v>12</v>
      </c>
      <c r="D225" t="s">
        <v>13</v>
      </c>
      <c r="E225" t="s">
        <v>40</v>
      </c>
      <c r="F225" t="s">
        <v>27</v>
      </c>
      <c r="G225">
        <v>1</v>
      </c>
      <c r="H225">
        <v>20000</v>
      </c>
      <c r="I225">
        <v>20000</v>
      </c>
      <c r="J225" t="s">
        <v>38</v>
      </c>
    </row>
    <row r="226" spans="1:10">
      <c r="A226">
        <v>1039</v>
      </c>
      <c r="B226" t="s">
        <v>21</v>
      </c>
      <c r="C226" t="s">
        <v>47</v>
      </c>
      <c r="D226" t="s">
        <v>23</v>
      </c>
      <c r="E226" t="s">
        <v>40</v>
      </c>
      <c r="F226" t="s">
        <v>27</v>
      </c>
      <c r="G226">
        <v>1</v>
      </c>
      <c r="H226">
        <v>20000</v>
      </c>
      <c r="I226">
        <v>20000</v>
      </c>
      <c r="J226" t="s">
        <v>38</v>
      </c>
    </row>
    <row r="227" spans="1:10">
      <c r="A227">
        <v>1051</v>
      </c>
      <c r="B227" t="s">
        <v>89</v>
      </c>
      <c r="C227" t="s">
        <v>29</v>
      </c>
      <c r="D227" t="s">
        <v>30</v>
      </c>
      <c r="E227" t="s">
        <v>40</v>
      </c>
      <c r="F227" t="s">
        <v>27</v>
      </c>
      <c r="G227">
        <v>1</v>
      </c>
      <c r="H227">
        <v>20000</v>
      </c>
      <c r="I227">
        <v>20000</v>
      </c>
      <c r="J227" t="s">
        <v>20</v>
      </c>
    </row>
    <row r="228" spans="1:10">
      <c r="A228">
        <v>1094</v>
      </c>
      <c r="B228" t="s">
        <v>123</v>
      </c>
      <c r="C228" t="s">
        <v>12</v>
      </c>
      <c r="D228" t="s">
        <v>30</v>
      </c>
      <c r="E228" t="s">
        <v>40</v>
      </c>
      <c r="F228" t="s">
        <v>27</v>
      </c>
      <c r="G228">
        <v>1</v>
      </c>
      <c r="H228">
        <v>20000</v>
      </c>
      <c r="I228">
        <v>20000</v>
      </c>
      <c r="J228" t="s">
        <v>34</v>
      </c>
    </row>
    <row r="229" spans="1:10">
      <c r="A229">
        <v>1140</v>
      </c>
      <c r="B229" t="s">
        <v>156</v>
      </c>
      <c r="C229" t="s">
        <v>42</v>
      </c>
      <c r="D229" t="s">
        <v>23</v>
      </c>
      <c r="E229" t="s">
        <v>40</v>
      </c>
      <c r="F229" t="s">
        <v>27</v>
      </c>
      <c r="G229">
        <v>1</v>
      </c>
      <c r="H229">
        <v>20000</v>
      </c>
      <c r="I229">
        <v>20000</v>
      </c>
      <c r="J229" t="s">
        <v>38</v>
      </c>
    </row>
    <row r="230" spans="1:10">
      <c r="A230">
        <v>1157</v>
      </c>
      <c r="B230" t="s">
        <v>167</v>
      </c>
      <c r="C230" t="s">
        <v>54</v>
      </c>
      <c r="D230" t="s">
        <v>23</v>
      </c>
      <c r="E230" t="s">
        <v>40</v>
      </c>
      <c r="F230" t="s">
        <v>27</v>
      </c>
      <c r="G230">
        <v>1</v>
      </c>
      <c r="H230">
        <v>20000</v>
      </c>
      <c r="I230">
        <v>20000</v>
      </c>
      <c r="J230" t="s">
        <v>16</v>
      </c>
    </row>
    <row r="231" spans="1:10">
      <c r="A231">
        <v>1310</v>
      </c>
      <c r="B231" t="s">
        <v>184</v>
      </c>
      <c r="C231" t="s">
        <v>29</v>
      </c>
      <c r="D231" t="s">
        <v>23</v>
      </c>
      <c r="E231" t="s">
        <v>40</v>
      </c>
      <c r="F231" t="s">
        <v>27</v>
      </c>
      <c r="G231">
        <v>1</v>
      </c>
      <c r="H231">
        <v>20000</v>
      </c>
      <c r="I231">
        <v>20000</v>
      </c>
      <c r="J231" t="s">
        <v>34</v>
      </c>
    </row>
    <row r="232" spans="1:10">
      <c r="A232">
        <v>1405</v>
      </c>
      <c r="B232" t="s">
        <v>168</v>
      </c>
      <c r="C232" t="s">
        <v>29</v>
      </c>
      <c r="D232" t="s">
        <v>30</v>
      </c>
      <c r="E232" t="s">
        <v>40</v>
      </c>
      <c r="F232" t="s">
        <v>27</v>
      </c>
      <c r="G232">
        <v>1</v>
      </c>
      <c r="H232">
        <v>20000</v>
      </c>
      <c r="I232">
        <v>20000</v>
      </c>
      <c r="J232" t="s">
        <v>16</v>
      </c>
    </row>
    <row r="233" spans="1:10">
      <c r="A233">
        <v>1420</v>
      </c>
      <c r="B233" t="s">
        <v>285</v>
      </c>
      <c r="C233" t="s">
        <v>29</v>
      </c>
      <c r="D233" t="s">
        <v>30</v>
      </c>
      <c r="E233" t="s">
        <v>40</v>
      </c>
      <c r="F233" t="s">
        <v>27</v>
      </c>
      <c r="G233">
        <v>1</v>
      </c>
      <c r="H233">
        <v>20000</v>
      </c>
      <c r="I233">
        <v>20000</v>
      </c>
      <c r="J233" t="s">
        <v>16</v>
      </c>
    </row>
    <row r="234" spans="1:10">
      <c r="A234">
        <v>1490</v>
      </c>
      <c r="B234" t="s">
        <v>305</v>
      </c>
      <c r="C234" t="s">
        <v>54</v>
      </c>
      <c r="D234" t="s">
        <v>13</v>
      </c>
      <c r="E234" t="s">
        <v>40</v>
      </c>
      <c r="F234" t="s">
        <v>27</v>
      </c>
      <c r="G234">
        <v>1</v>
      </c>
      <c r="H234">
        <v>20000</v>
      </c>
      <c r="I234">
        <v>20000</v>
      </c>
      <c r="J234" t="s">
        <v>20</v>
      </c>
    </row>
    <row r="235" spans="1:10">
      <c r="A235">
        <v>1003</v>
      </c>
      <c r="B235" t="s">
        <v>21</v>
      </c>
      <c r="C235" t="s">
        <v>22</v>
      </c>
      <c r="D235" t="s">
        <v>23</v>
      </c>
      <c r="E235" t="s">
        <v>19</v>
      </c>
      <c r="F235" t="s">
        <v>15</v>
      </c>
      <c r="G235">
        <v>4</v>
      </c>
      <c r="H235">
        <v>4500</v>
      </c>
      <c r="I235">
        <v>18000</v>
      </c>
      <c r="J235" t="s">
        <v>20</v>
      </c>
    </row>
    <row r="236" spans="1:10">
      <c r="A236">
        <v>1041</v>
      </c>
      <c r="B236" t="s">
        <v>79</v>
      </c>
      <c r="C236" t="s">
        <v>71</v>
      </c>
      <c r="D236" t="s">
        <v>13</v>
      </c>
      <c r="E236" t="s">
        <v>19</v>
      </c>
      <c r="F236" t="s">
        <v>15</v>
      </c>
      <c r="G236">
        <v>4</v>
      </c>
      <c r="H236">
        <v>4500</v>
      </c>
      <c r="I236">
        <v>18000</v>
      </c>
      <c r="J236" t="s">
        <v>20</v>
      </c>
    </row>
    <row r="237" spans="1:10">
      <c r="A237">
        <v>1057</v>
      </c>
      <c r="B237" t="s">
        <v>84</v>
      </c>
      <c r="C237" t="s">
        <v>54</v>
      </c>
      <c r="D237" t="s">
        <v>13</v>
      </c>
      <c r="E237" t="s">
        <v>19</v>
      </c>
      <c r="F237" t="s">
        <v>15</v>
      </c>
      <c r="G237">
        <v>4</v>
      </c>
      <c r="H237">
        <v>4500</v>
      </c>
      <c r="I237">
        <v>18000</v>
      </c>
      <c r="J237" t="s">
        <v>16</v>
      </c>
    </row>
    <row r="238" spans="1:10">
      <c r="A238">
        <v>1080</v>
      </c>
      <c r="B238" t="s">
        <v>52</v>
      </c>
      <c r="C238" t="s">
        <v>54</v>
      </c>
      <c r="D238" t="s">
        <v>13</v>
      </c>
      <c r="E238" t="s">
        <v>19</v>
      </c>
      <c r="F238" t="s">
        <v>15</v>
      </c>
      <c r="G238">
        <v>4</v>
      </c>
      <c r="H238">
        <v>4500</v>
      </c>
      <c r="I238">
        <v>18000</v>
      </c>
      <c r="J238" t="s">
        <v>16</v>
      </c>
    </row>
    <row r="239" spans="1:10">
      <c r="A239">
        <v>1109</v>
      </c>
      <c r="B239" t="s">
        <v>135</v>
      </c>
      <c r="C239" t="s">
        <v>22</v>
      </c>
      <c r="D239" t="s">
        <v>23</v>
      </c>
      <c r="E239" t="s">
        <v>19</v>
      </c>
      <c r="F239" t="s">
        <v>15</v>
      </c>
      <c r="G239">
        <v>4</v>
      </c>
      <c r="H239">
        <v>4500</v>
      </c>
      <c r="I239">
        <v>18000</v>
      </c>
      <c r="J239" t="s">
        <v>34</v>
      </c>
    </row>
    <row r="240" spans="1:10">
      <c r="A240">
        <v>1120</v>
      </c>
      <c r="B240" t="s">
        <v>141</v>
      </c>
      <c r="C240" t="s">
        <v>60</v>
      </c>
      <c r="D240" t="s">
        <v>13</v>
      </c>
      <c r="E240" t="s">
        <v>19</v>
      </c>
      <c r="F240" t="s">
        <v>15</v>
      </c>
      <c r="G240">
        <v>4</v>
      </c>
      <c r="H240">
        <v>4500</v>
      </c>
      <c r="I240">
        <v>18000</v>
      </c>
      <c r="J240" t="s">
        <v>38</v>
      </c>
    </row>
    <row r="241" spans="1:10">
      <c r="A241">
        <v>1160</v>
      </c>
      <c r="B241" t="s">
        <v>169</v>
      </c>
      <c r="C241" t="s">
        <v>60</v>
      </c>
      <c r="D241" t="s">
        <v>13</v>
      </c>
      <c r="E241" t="s">
        <v>19</v>
      </c>
      <c r="F241" t="s">
        <v>15</v>
      </c>
      <c r="G241">
        <v>4</v>
      </c>
      <c r="H241">
        <v>4500</v>
      </c>
      <c r="I241">
        <v>18000</v>
      </c>
      <c r="J241" t="s">
        <v>38</v>
      </c>
    </row>
    <row r="242" spans="1:10">
      <c r="A242">
        <v>1170</v>
      </c>
      <c r="B242" t="s">
        <v>175</v>
      </c>
      <c r="C242" t="s">
        <v>60</v>
      </c>
      <c r="D242" t="s">
        <v>23</v>
      </c>
      <c r="E242" t="s">
        <v>19</v>
      </c>
      <c r="F242" t="s">
        <v>15</v>
      </c>
      <c r="G242">
        <v>4</v>
      </c>
      <c r="H242">
        <v>4500</v>
      </c>
      <c r="I242">
        <v>18000</v>
      </c>
      <c r="J242" t="s">
        <v>20</v>
      </c>
    </row>
    <row r="243" spans="1:10">
      <c r="A243">
        <v>1285</v>
      </c>
      <c r="B243" t="s">
        <v>232</v>
      </c>
      <c r="C243" t="s">
        <v>22</v>
      </c>
      <c r="D243" t="s">
        <v>18</v>
      </c>
      <c r="E243" t="s">
        <v>19</v>
      </c>
      <c r="F243" t="s">
        <v>15</v>
      </c>
      <c r="G243">
        <v>4</v>
      </c>
      <c r="H243">
        <v>4500</v>
      </c>
      <c r="I243">
        <v>18000</v>
      </c>
      <c r="J243" t="s">
        <v>20</v>
      </c>
    </row>
    <row r="244" spans="1:10">
      <c r="A244">
        <v>1331</v>
      </c>
      <c r="B244" t="s">
        <v>226</v>
      </c>
      <c r="C244" t="s">
        <v>54</v>
      </c>
      <c r="D244" t="s">
        <v>13</v>
      </c>
      <c r="E244" t="s">
        <v>19</v>
      </c>
      <c r="F244" t="s">
        <v>15</v>
      </c>
      <c r="G244">
        <v>4</v>
      </c>
      <c r="H244">
        <v>4500</v>
      </c>
      <c r="I244">
        <v>18000</v>
      </c>
      <c r="J244" t="s">
        <v>20</v>
      </c>
    </row>
    <row r="245" spans="1:10">
      <c r="A245">
        <v>1364</v>
      </c>
      <c r="B245" t="s">
        <v>208</v>
      </c>
      <c r="C245" t="s">
        <v>71</v>
      </c>
      <c r="D245" t="s">
        <v>13</v>
      </c>
      <c r="E245" t="s">
        <v>19</v>
      </c>
      <c r="F245" t="s">
        <v>15</v>
      </c>
      <c r="G245">
        <v>4</v>
      </c>
      <c r="H245">
        <v>4500</v>
      </c>
      <c r="I245">
        <v>18000</v>
      </c>
      <c r="J245" t="s">
        <v>20</v>
      </c>
    </row>
    <row r="246" spans="1:10">
      <c r="A246">
        <v>1366</v>
      </c>
      <c r="B246" t="s">
        <v>79</v>
      </c>
      <c r="C246" t="s">
        <v>12</v>
      </c>
      <c r="D246" t="s">
        <v>30</v>
      </c>
      <c r="E246" t="s">
        <v>19</v>
      </c>
      <c r="F246" t="s">
        <v>15</v>
      </c>
      <c r="G246">
        <v>4</v>
      </c>
      <c r="H246">
        <v>4500</v>
      </c>
      <c r="I246">
        <v>18000</v>
      </c>
      <c r="J246" t="s">
        <v>34</v>
      </c>
    </row>
    <row r="247" spans="1:10">
      <c r="A247">
        <v>1451</v>
      </c>
      <c r="B247" t="s">
        <v>24</v>
      </c>
      <c r="C247" t="s">
        <v>32</v>
      </c>
      <c r="D247" t="s">
        <v>30</v>
      </c>
      <c r="E247" t="s">
        <v>19</v>
      </c>
      <c r="F247" t="s">
        <v>15</v>
      </c>
      <c r="G247">
        <v>4</v>
      </c>
      <c r="H247">
        <v>4500</v>
      </c>
      <c r="I247">
        <v>18000</v>
      </c>
      <c r="J247" t="s">
        <v>38</v>
      </c>
    </row>
    <row r="248" spans="1:10">
      <c r="A248">
        <v>1014</v>
      </c>
      <c r="B248" t="s">
        <v>48</v>
      </c>
      <c r="C248" t="s">
        <v>47</v>
      </c>
      <c r="D248" t="s">
        <v>30</v>
      </c>
      <c r="E248" t="s">
        <v>14</v>
      </c>
      <c r="F248" t="s">
        <v>15</v>
      </c>
      <c r="G248">
        <v>2</v>
      </c>
      <c r="H248">
        <v>8000</v>
      </c>
      <c r="I248">
        <v>16000</v>
      </c>
      <c r="J248" t="s">
        <v>16</v>
      </c>
    </row>
    <row r="249" spans="1:10">
      <c r="A249">
        <v>1131</v>
      </c>
      <c r="B249" t="s">
        <v>129</v>
      </c>
      <c r="C249" t="s">
        <v>12</v>
      </c>
      <c r="D249" t="s">
        <v>13</v>
      </c>
      <c r="E249" t="s">
        <v>14</v>
      </c>
      <c r="F249" t="s">
        <v>15</v>
      </c>
      <c r="G249">
        <v>2</v>
      </c>
      <c r="H249">
        <v>8000</v>
      </c>
      <c r="I249">
        <v>16000</v>
      </c>
      <c r="J249" t="s">
        <v>34</v>
      </c>
    </row>
    <row r="250" spans="1:10">
      <c r="A250">
        <v>1164</v>
      </c>
      <c r="B250" t="s">
        <v>171</v>
      </c>
      <c r="C250" t="s">
        <v>25</v>
      </c>
      <c r="D250" t="s">
        <v>30</v>
      </c>
      <c r="E250" t="s">
        <v>14</v>
      </c>
      <c r="F250" t="s">
        <v>15</v>
      </c>
      <c r="G250">
        <v>2</v>
      </c>
      <c r="H250">
        <v>8000</v>
      </c>
      <c r="I250">
        <v>16000</v>
      </c>
      <c r="J250" t="s">
        <v>34</v>
      </c>
    </row>
    <row r="251" spans="1:10">
      <c r="A251">
        <v>1189</v>
      </c>
      <c r="B251" t="s">
        <v>187</v>
      </c>
      <c r="C251" t="s">
        <v>54</v>
      </c>
      <c r="D251" t="s">
        <v>30</v>
      </c>
      <c r="E251" t="s">
        <v>14</v>
      </c>
      <c r="F251" t="s">
        <v>15</v>
      </c>
      <c r="G251">
        <v>2</v>
      </c>
      <c r="H251">
        <v>8000</v>
      </c>
      <c r="I251">
        <v>16000</v>
      </c>
      <c r="J251" t="s">
        <v>16</v>
      </c>
    </row>
    <row r="252" spans="1:10">
      <c r="A252">
        <v>1210</v>
      </c>
      <c r="B252" t="s">
        <v>203</v>
      </c>
      <c r="C252" t="s">
        <v>25</v>
      </c>
      <c r="D252" t="s">
        <v>18</v>
      </c>
      <c r="E252" t="s">
        <v>14</v>
      </c>
      <c r="F252" t="s">
        <v>15</v>
      </c>
      <c r="G252">
        <v>2</v>
      </c>
      <c r="H252">
        <v>8000</v>
      </c>
      <c r="I252">
        <v>16000</v>
      </c>
      <c r="J252" t="s">
        <v>34</v>
      </c>
    </row>
    <row r="253" spans="1:10">
      <c r="A253">
        <v>1302</v>
      </c>
      <c r="B253" t="s">
        <v>243</v>
      </c>
      <c r="C253" t="s">
        <v>47</v>
      </c>
      <c r="D253" t="s">
        <v>13</v>
      </c>
      <c r="E253" t="s">
        <v>14</v>
      </c>
      <c r="F253" t="s">
        <v>15</v>
      </c>
      <c r="G253">
        <v>2</v>
      </c>
      <c r="H253">
        <v>8000</v>
      </c>
      <c r="I253">
        <v>16000</v>
      </c>
      <c r="J253" t="s">
        <v>34</v>
      </c>
    </row>
    <row r="254" spans="1:10">
      <c r="A254">
        <v>1313</v>
      </c>
      <c r="B254" t="s">
        <v>84</v>
      </c>
      <c r="C254" t="s">
        <v>25</v>
      </c>
      <c r="D254" t="s">
        <v>30</v>
      </c>
      <c r="E254" t="s">
        <v>14</v>
      </c>
      <c r="F254" t="s">
        <v>15</v>
      </c>
      <c r="G254">
        <v>2</v>
      </c>
      <c r="H254">
        <v>8000</v>
      </c>
      <c r="I254">
        <v>16000</v>
      </c>
      <c r="J254" t="s">
        <v>16</v>
      </c>
    </row>
    <row r="255" spans="1:10">
      <c r="A255">
        <v>1325</v>
      </c>
      <c r="B255" t="s">
        <v>250</v>
      </c>
      <c r="C255" t="s">
        <v>22</v>
      </c>
      <c r="D255" t="s">
        <v>23</v>
      </c>
      <c r="E255" t="s">
        <v>14</v>
      </c>
      <c r="F255" t="s">
        <v>15</v>
      </c>
      <c r="G255">
        <v>2</v>
      </c>
      <c r="H255">
        <v>8000</v>
      </c>
      <c r="I255">
        <v>16000</v>
      </c>
      <c r="J255" t="s">
        <v>16</v>
      </c>
    </row>
    <row r="256" spans="1:10">
      <c r="A256">
        <v>1344</v>
      </c>
      <c r="B256" t="s">
        <v>64</v>
      </c>
      <c r="C256" t="s">
        <v>60</v>
      </c>
      <c r="D256" t="s">
        <v>23</v>
      </c>
      <c r="E256" t="s">
        <v>14</v>
      </c>
      <c r="F256" t="s">
        <v>15</v>
      </c>
      <c r="G256">
        <v>2</v>
      </c>
      <c r="H256">
        <v>8000</v>
      </c>
      <c r="I256">
        <v>16000</v>
      </c>
      <c r="J256" t="s">
        <v>20</v>
      </c>
    </row>
    <row r="257" spans="1:10">
      <c r="A257">
        <v>1393</v>
      </c>
      <c r="B257" t="s">
        <v>277</v>
      </c>
      <c r="C257" t="s">
        <v>32</v>
      </c>
      <c r="D257" t="s">
        <v>30</v>
      </c>
      <c r="E257" t="s">
        <v>14</v>
      </c>
      <c r="F257" t="s">
        <v>15</v>
      </c>
      <c r="G257">
        <v>2</v>
      </c>
      <c r="H257">
        <v>8000</v>
      </c>
      <c r="I257">
        <v>16000</v>
      </c>
      <c r="J257" t="s">
        <v>38</v>
      </c>
    </row>
    <row r="258" spans="1:10">
      <c r="A258">
        <v>1435</v>
      </c>
      <c r="B258" t="s">
        <v>197</v>
      </c>
      <c r="C258" t="s">
        <v>71</v>
      </c>
      <c r="D258" t="s">
        <v>18</v>
      </c>
      <c r="E258" t="s">
        <v>14</v>
      </c>
      <c r="F258" t="s">
        <v>15</v>
      </c>
      <c r="G258">
        <v>2</v>
      </c>
      <c r="H258">
        <v>8000</v>
      </c>
      <c r="I258">
        <v>16000</v>
      </c>
      <c r="J258" t="s">
        <v>20</v>
      </c>
    </row>
    <row r="259" spans="1:10">
      <c r="A259">
        <v>1024</v>
      </c>
      <c r="B259" t="s">
        <v>62</v>
      </c>
      <c r="C259" t="s">
        <v>47</v>
      </c>
      <c r="D259" t="s">
        <v>30</v>
      </c>
      <c r="E259" t="s">
        <v>26</v>
      </c>
      <c r="F259" t="s">
        <v>27</v>
      </c>
      <c r="G259">
        <v>1</v>
      </c>
      <c r="H259">
        <v>15000</v>
      </c>
      <c r="I259">
        <v>15000</v>
      </c>
      <c r="J259" t="s">
        <v>38</v>
      </c>
    </row>
    <row r="260" spans="1:10">
      <c r="A260">
        <v>1025</v>
      </c>
      <c r="B260" t="s">
        <v>63</v>
      </c>
      <c r="C260" t="s">
        <v>22</v>
      </c>
      <c r="D260" t="s">
        <v>18</v>
      </c>
      <c r="E260" t="s">
        <v>26</v>
      </c>
      <c r="F260" t="s">
        <v>27</v>
      </c>
      <c r="G260">
        <v>1</v>
      </c>
      <c r="H260">
        <v>15000</v>
      </c>
      <c r="I260">
        <v>15000</v>
      </c>
      <c r="J260" t="s">
        <v>20</v>
      </c>
    </row>
    <row r="261" spans="1:10">
      <c r="A261">
        <v>1042</v>
      </c>
      <c r="B261" t="s">
        <v>80</v>
      </c>
      <c r="C261" t="s">
        <v>54</v>
      </c>
      <c r="D261" t="s">
        <v>30</v>
      </c>
      <c r="E261" t="s">
        <v>26</v>
      </c>
      <c r="F261" t="s">
        <v>27</v>
      </c>
      <c r="G261">
        <v>1</v>
      </c>
      <c r="H261">
        <v>15000</v>
      </c>
      <c r="I261">
        <v>15000</v>
      </c>
      <c r="J261" t="s">
        <v>34</v>
      </c>
    </row>
    <row r="262" spans="1:10">
      <c r="A262">
        <v>1132</v>
      </c>
      <c r="B262" t="s">
        <v>149</v>
      </c>
      <c r="C262" t="s">
        <v>47</v>
      </c>
      <c r="D262" t="s">
        <v>23</v>
      </c>
      <c r="E262" t="s">
        <v>26</v>
      </c>
      <c r="F262" t="s">
        <v>27</v>
      </c>
      <c r="G262">
        <v>1</v>
      </c>
      <c r="H262">
        <v>15000</v>
      </c>
      <c r="I262">
        <v>15000</v>
      </c>
      <c r="J262" t="s">
        <v>38</v>
      </c>
    </row>
    <row r="263" spans="1:10">
      <c r="A263">
        <v>1222</v>
      </c>
      <c r="B263" t="s">
        <v>209</v>
      </c>
      <c r="C263" t="s">
        <v>42</v>
      </c>
      <c r="D263" t="s">
        <v>18</v>
      </c>
      <c r="E263" t="s">
        <v>26</v>
      </c>
      <c r="F263" t="s">
        <v>27</v>
      </c>
      <c r="G263">
        <v>1</v>
      </c>
      <c r="H263">
        <v>15000</v>
      </c>
      <c r="I263">
        <v>15000</v>
      </c>
      <c r="J263" t="s">
        <v>20</v>
      </c>
    </row>
    <row r="264" spans="1:10">
      <c r="A264">
        <v>1223</v>
      </c>
      <c r="B264" t="s">
        <v>119</v>
      </c>
      <c r="C264" t="s">
        <v>29</v>
      </c>
      <c r="D264" t="s">
        <v>23</v>
      </c>
      <c r="E264" t="s">
        <v>26</v>
      </c>
      <c r="F264" t="s">
        <v>27</v>
      </c>
      <c r="G264">
        <v>1</v>
      </c>
      <c r="H264">
        <v>15000</v>
      </c>
      <c r="I264">
        <v>15000</v>
      </c>
      <c r="J264" t="s">
        <v>34</v>
      </c>
    </row>
    <row r="265" spans="1:10">
      <c r="A265">
        <v>1281</v>
      </c>
      <c r="B265" t="s">
        <v>225</v>
      </c>
      <c r="C265" t="s">
        <v>47</v>
      </c>
      <c r="D265" t="s">
        <v>18</v>
      </c>
      <c r="E265" t="s">
        <v>26</v>
      </c>
      <c r="F265" t="s">
        <v>27</v>
      </c>
      <c r="G265">
        <v>1</v>
      </c>
      <c r="H265">
        <v>15000</v>
      </c>
      <c r="I265">
        <v>15000</v>
      </c>
      <c r="J265" t="s">
        <v>16</v>
      </c>
    </row>
    <row r="266" spans="1:10">
      <c r="A266">
        <v>1288</v>
      </c>
      <c r="B266" t="s">
        <v>239</v>
      </c>
      <c r="C266" t="s">
        <v>29</v>
      </c>
      <c r="D266" t="s">
        <v>18</v>
      </c>
      <c r="E266" t="s">
        <v>26</v>
      </c>
      <c r="F266" t="s">
        <v>27</v>
      </c>
      <c r="G266">
        <v>1</v>
      </c>
      <c r="H266">
        <v>15000</v>
      </c>
      <c r="I266">
        <v>15000</v>
      </c>
      <c r="J266" t="s">
        <v>20</v>
      </c>
    </row>
    <row r="267" spans="1:10">
      <c r="A267">
        <v>1308</v>
      </c>
      <c r="B267" t="s">
        <v>247</v>
      </c>
      <c r="C267" t="s">
        <v>42</v>
      </c>
      <c r="D267" t="s">
        <v>13</v>
      </c>
      <c r="E267" t="s">
        <v>26</v>
      </c>
      <c r="F267" t="s">
        <v>27</v>
      </c>
      <c r="G267">
        <v>1</v>
      </c>
      <c r="H267">
        <v>15000</v>
      </c>
      <c r="I267">
        <v>15000</v>
      </c>
      <c r="J267" t="s">
        <v>38</v>
      </c>
    </row>
    <row r="268" spans="1:10">
      <c r="A268">
        <v>1343</v>
      </c>
      <c r="B268" t="s">
        <v>139</v>
      </c>
      <c r="C268" t="s">
        <v>47</v>
      </c>
      <c r="D268" t="s">
        <v>23</v>
      </c>
      <c r="E268" t="s">
        <v>26</v>
      </c>
      <c r="F268" t="s">
        <v>27</v>
      </c>
      <c r="G268">
        <v>1</v>
      </c>
      <c r="H268">
        <v>15000</v>
      </c>
      <c r="I268">
        <v>15000</v>
      </c>
      <c r="J268" t="s">
        <v>38</v>
      </c>
    </row>
    <row r="269" spans="1:10">
      <c r="A269">
        <v>1348</v>
      </c>
      <c r="B269" t="s">
        <v>258</v>
      </c>
      <c r="C269" t="s">
        <v>29</v>
      </c>
      <c r="D269" t="s">
        <v>30</v>
      </c>
      <c r="E269" t="s">
        <v>26</v>
      </c>
      <c r="F269" t="s">
        <v>27</v>
      </c>
      <c r="G269">
        <v>1</v>
      </c>
      <c r="H269">
        <v>15000</v>
      </c>
      <c r="I269">
        <v>15000</v>
      </c>
      <c r="J269" t="s">
        <v>20</v>
      </c>
    </row>
    <row r="270" spans="1:10">
      <c r="A270">
        <v>1380</v>
      </c>
      <c r="B270" t="s">
        <v>227</v>
      </c>
      <c r="C270" t="s">
        <v>32</v>
      </c>
      <c r="D270" t="s">
        <v>30</v>
      </c>
      <c r="E270" t="s">
        <v>26</v>
      </c>
      <c r="F270" t="s">
        <v>27</v>
      </c>
      <c r="G270">
        <v>1</v>
      </c>
      <c r="H270">
        <v>15000</v>
      </c>
      <c r="I270">
        <v>15000</v>
      </c>
      <c r="J270" t="s">
        <v>20</v>
      </c>
    </row>
    <row r="271" spans="1:10">
      <c r="A271">
        <v>1418</v>
      </c>
      <c r="B271" t="s">
        <v>108</v>
      </c>
      <c r="C271" t="s">
        <v>42</v>
      </c>
      <c r="D271" t="s">
        <v>18</v>
      </c>
      <c r="E271" t="s">
        <v>26</v>
      </c>
      <c r="F271" t="s">
        <v>27</v>
      </c>
      <c r="G271">
        <v>1</v>
      </c>
      <c r="H271">
        <v>15000</v>
      </c>
      <c r="I271">
        <v>15000</v>
      </c>
      <c r="J271" t="s">
        <v>20</v>
      </c>
    </row>
    <row r="272" spans="1:10">
      <c r="A272">
        <v>1461</v>
      </c>
      <c r="B272" t="s">
        <v>271</v>
      </c>
      <c r="C272" t="s">
        <v>29</v>
      </c>
      <c r="D272" t="s">
        <v>13</v>
      </c>
      <c r="E272" t="s">
        <v>26</v>
      </c>
      <c r="F272" t="s">
        <v>27</v>
      </c>
      <c r="G272">
        <v>1</v>
      </c>
      <c r="H272">
        <v>15000</v>
      </c>
      <c r="I272">
        <v>15000</v>
      </c>
      <c r="J272" t="s">
        <v>20</v>
      </c>
    </row>
    <row r="273" spans="1:10">
      <c r="A273">
        <v>1002</v>
      </c>
      <c r="B273" t="s">
        <v>17</v>
      </c>
      <c r="C273" t="s">
        <v>12</v>
      </c>
      <c r="D273" t="s">
        <v>18</v>
      </c>
      <c r="E273" t="s">
        <v>19</v>
      </c>
      <c r="F273" t="s">
        <v>15</v>
      </c>
      <c r="G273">
        <v>3</v>
      </c>
      <c r="H273">
        <v>4500</v>
      </c>
      <c r="I273">
        <v>13500</v>
      </c>
      <c r="J273" t="s">
        <v>20</v>
      </c>
    </row>
    <row r="274" spans="1:10">
      <c r="A274">
        <v>1007</v>
      </c>
      <c r="B274" t="s">
        <v>35</v>
      </c>
      <c r="C274" t="s">
        <v>12</v>
      </c>
      <c r="D274" t="s">
        <v>30</v>
      </c>
      <c r="E274" t="s">
        <v>19</v>
      </c>
      <c r="F274" t="s">
        <v>15</v>
      </c>
      <c r="G274">
        <v>3</v>
      </c>
      <c r="H274">
        <v>4500</v>
      </c>
      <c r="I274">
        <v>13500</v>
      </c>
      <c r="J274" t="s">
        <v>20</v>
      </c>
    </row>
    <row r="275" spans="1:10">
      <c r="A275">
        <v>1034</v>
      </c>
      <c r="B275" t="s">
        <v>73</v>
      </c>
      <c r="C275" t="s">
        <v>22</v>
      </c>
      <c r="D275" t="s">
        <v>18</v>
      </c>
      <c r="E275" t="s">
        <v>19</v>
      </c>
      <c r="F275" t="s">
        <v>15</v>
      </c>
      <c r="G275">
        <v>3</v>
      </c>
      <c r="H275">
        <v>4500</v>
      </c>
      <c r="I275">
        <v>13500</v>
      </c>
      <c r="J275" t="s">
        <v>34</v>
      </c>
    </row>
    <row r="276" spans="1:10">
      <c r="A276">
        <v>1086</v>
      </c>
      <c r="B276" t="s">
        <v>116</v>
      </c>
      <c r="C276" t="s">
        <v>71</v>
      </c>
      <c r="D276" t="s">
        <v>23</v>
      </c>
      <c r="E276" t="s">
        <v>19</v>
      </c>
      <c r="F276" t="s">
        <v>15</v>
      </c>
      <c r="G276">
        <v>3</v>
      </c>
      <c r="H276">
        <v>4500</v>
      </c>
      <c r="I276">
        <v>13500</v>
      </c>
      <c r="J276" t="s">
        <v>16</v>
      </c>
    </row>
    <row r="277" spans="1:10">
      <c r="A277">
        <v>1088</v>
      </c>
      <c r="B277" t="s">
        <v>118</v>
      </c>
      <c r="C277" t="s">
        <v>47</v>
      </c>
      <c r="D277" t="s">
        <v>30</v>
      </c>
      <c r="E277" t="s">
        <v>19</v>
      </c>
      <c r="F277" t="s">
        <v>15</v>
      </c>
      <c r="G277">
        <v>3</v>
      </c>
      <c r="H277">
        <v>4500</v>
      </c>
      <c r="I277">
        <v>13500</v>
      </c>
      <c r="J277" t="s">
        <v>38</v>
      </c>
    </row>
    <row r="278" spans="1:10">
      <c r="A278">
        <v>1103</v>
      </c>
      <c r="B278" t="s">
        <v>127</v>
      </c>
      <c r="C278" t="s">
        <v>12</v>
      </c>
      <c r="D278" t="s">
        <v>23</v>
      </c>
      <c r="E278" t="s">
        <v>19</v>
      </c>
      <c r="F278" t="s">
        <v>15</v>
      </c>
      <c r="G278">
        <v>3</v>
      </c>
      <c r="H278">
        <v>4500</v>
      </c>
      <c r="I278">
        <v>13500</v>
      </c>
      <c r="J278" t="s">
        <v>16</v>
      </c>
    </row>
    <row r="279" spans="1:10">
      <c r="A279">
        <v>1145</v>
      </c>
      <c r="B279" t="s">
        <v>158</v>
      </c>
      <c r="C279" t="s">
        <v>60</v>
      </c>
      <c r="D279" t="s">
        <v>30</v>
      </c>
      <c r="E279" t="s">
        <v>19</v>
      </c>
      <c r="F279" t="s">
        <v>15</v>
      </c>
      <c r="G279">
        <v>3</v>
      </c>
      <c r="H279">
        <v>4500</v>
      </c>
      <c r="I279">
        <v>13500</v>
      </c>
      <c r="J279" t="s">
        <v>38</v>
      </c>
    </row>
    <row r="280" spans="1:10">
      <c r="A280">
        <v>1162</v>
      </c>
      <c r="B280" t="s">
        <v>170</v>
      </c>
      <c r="C280" t="s">
        <v>32</v>
      </c>
      <c r="D280" t="s">
        <v>18</v>
      </c>
      <c r="E280" t="s">
        <v>19</v>
      </c>
      <c r="F280" t="s">
        <v>15</v>
      </c>
      <c r="G280">
        <v>3</v>
      </c>
      <c r="H280">
        <v>4500</v>
      </c>
      <c r="I280">
        <v>13500</v>
      </c>
      <c r="J280" t="s">
        <v>34</v>
      </c>
    </row>
    <row r="281" spans="1:10">
      <c r="A281">
        <v>1236</v>
      </c>
      <c r="B281" t="s">
        <v>174</v>
      </c>
      <c r="C281" t="s">
        <v>71</v>
      </c>
      <c r="D281" t="s">
        <v>13</v>
      </c>
      <c r="E281" t="s">
        <v>19</v>
      </c>
      <c r="F281" t="s">
        <v>15</v>
      </c>
      <c r="G281">
        <v>3</v>
      </c>
      <c r="H281">
        <v>4500</v>
      </c>
      <c r="I281">
        <v>13500</v>
      </c>
      <c r="J281" t="s">
        <v>34</v>
      </c>
    </row>
    <row r="282" spans="1:10">
      <c r="A282">
        <v>1404</v>
      </c>
      <c r="B282" t="s">
        <v>282</v>
      </c>
      <c r="C282" t="s">
        <v>12</v>
      </c>
      <c r="D282" t="s">
        <v>18</v>
      </c>
      <c r="E282" t="s">
        <v>19</v>
      </c>
      <c r="F282" t="s">
        <v>15</v>
      </c>
      <c r="G282">
        <v>3</v>
      </c>
      <c r="H282">
        <v>4500</v>
      </c>
      <c r="I282">
        <v>13500</v>
      </c>
      <c r="J282" t="s">
        <v>20</v>
      </c>
    </row>
    <row r="283" spans="1:10">
      <c r="A283">
        <v>1411</v>
      </c>
      <c r="B283" t="s">
        <v>282</v>
      </c>
      <c r="C283" t="s">
        <v>12</v>
      </c>
      <c r="D283" t="s">
        <v>18</v>
      </c>
      <c r="E283" t="s">
        <v>19</v>
      </c>
      <c r="F283" t="s">
        <v>15</v>
      </c>
      <c r="G283">
        <v>3</v>
      </c>
      <c r="H283">
        <v>4500</v>
      </c>
      <c r="I283">
        <v>13500</v>
      </c>
      <c r="J283" t="s">
        <v>34</v>
      </c>
    </row>
    <row r="284" spans="1:10">
      <c r="A284">
        <v>1422</v>
      </c>
      <c r="B284" t="s">
        <v>247</v>
      </c>
      <c r="C284" t="s">
        <v>60</v>
      </c>
      <c r="D284" t="s">
        <v>18</v>
      </c>
      <c r="E284" t="s">
        <v>19</v>
      </c>
      <c r="F284" t="s">
        <v>15</v>
      </c>
      <c r="G284">
        <v>3</v>
      </c>
      <c r="H284">
        <v>4500</v>
      </c>
      <c r="I284">
        <v>13500</v>
      </c>
      <c r="J284" t="s">
        <v>34</v>
      </c>
    </row>
    <row r="285" spans="1:10">
      <c r="A285">
        <v>1485</v>
      </c>
      <c r="B285" t="s">
        <v>45</v>
      </c>
      <c r="C285" t="s">
        <v>22</v>
      </c>
      <c r="D285" t="s">
        <v>13</v>
      </c>
      <c r="E285" t="s">
        <v>19</v>
      </c>
      <c r="F285" t="s">
        <v>15</v>
      </c>
      <c r="G285">
        <v>3</v>
      </c>
      <c r="H285">
        <v>4500</v>
      </c>
      <c r="I285">
        <v>13500</v>
      </c>
      <c r="J285" t="s">
        <v>38</v>
      </c>
    </row>
    <row r="286" spans="1:10">
      <c r="A286">
        <v>1495</v>
      </c>
      <c r="B286" t="s">
        <v>235</v>
      </c>
      <c r="C286" t="s">
        <v>60</v>
      </c>
      <c r="D286" t="s">
        <v>18</v>
      </c>
      <c r="E286" t="s">
        <v>19</v>
      </c>
      <c r="F286" t="s">
        <v>15</v>
      </c>
      <c r="G286">
        <v>3</v>
      </c>
      <c r="H286">
        <v>4500</v>
      </c>
      <c r="I286">
        <v>13500</v>
      </c>
      <c r="J286" t="s">
        <v>16</v>
      </c>
    </row>
    <row r="287" spans="1:10">
      <c r="A287">
        <v>1029</v>
      </c>
      <c r="B287" t="s">
        <v>67</v>
      </c>
      <c r="C287" t="s">
        <v>22</v>
      </c>
      <c r="D287" t="s">
        <v>23</v>
      </c>
      <c r="E287" t="s">
        <v>50</v>
      </c>
      <c r="F287" t="s">
        <v>51</v>
      </c>
      <c r="G287">
        <v>5</v>
      </c>
      <c r="H287">
        <v>2000</v>
      </c>
      <c r="I287">
        <v>10000</v>
      </c>
      <c r="J287" t="s">
        <v>38</v>
      </c>
    </row>
    <row r="288" spans="1:10">
      <c r="A288">
        <v>1064</v>
      </c>
      <c r="B288" t="s">
        <v>98</v>
      </c>
      <c r="C288" t="s">
        <v>60</v>
      </c>
      <c r="D288" t="s">
        <v>13</v>
      </c>
      <c r="E288" t="s">
        <v>50</v>
      </c>
      <c r="F288" t="s">
        <v>51</v>
      </c>
      <c r="G288">
        <v>5</v>
      </c>
      <c r="H288">
        <v>2000</v>
      </c>
      <c r="I288">
        <v>10000</v>
      </c>
      <c r="J288" t="s">
        <v>34</v>
      </c>
    </row>
    <row r="289" spans="1:10">
      <c r="A289">
        <v>1068</v>
      </c>
      <c r="B289" t="s">
        <v>102</v>
      </c>
      <c r="C289" t="s">
        <v>54</v>
      </c>
      <c r="D289" t="s">
        <v>30</v>
      </c>
      <c r="E289" t="s">
        <v>50</v>
      </c>
      <c r="F289" t="s">
        <v>51</v>
      </c>
      <c r="G289">
        <v>5</v>
      </c>
      <c r="H289">
        <v>2000</v>
      </c>
      <c r="I289">
        <v>10000</v>
      </c>
      <c r="J289" t="s">
        <v>34</v>
      </c>
    </row>
    <row r="290" spans="1:10">
      <c r="A290">
        <v>1071</v>
      </c>
      <c r="B290" t="s">
        <v>105</v>
      </c>
      <c r="C290" t="s">
        <v>54</v>
      </c>
      <c r="D290" t="s">
        <v>23</v>
      </c>
      <c r="E290" t="s">
        <v>50</v>
      </c>
      <c r="F290" t="s">
        <v>51</v>
      </c>
      <c r="G290">
        <v>5</v>
      </c>
      <c r="H290">
        <v>2000</v>
      </c>
      <c r="I290">
        <v>10000</v>
      </c>
      <c r="J290" t="s">
        <v>16</v>
      </c>
    </row>
    <row r="291" spans="1:10">
      <c r="A291">
        <v>1122</v>
      </c>
      <c r="B291" t="s">
        <v>142</v>
      </c>
      <c r="C291" t="s">
        <v>54</v>
      </c>
      <c r="D291" t="s">
        <v>13</v>
      </c>
      <c r="E291" t="s">
        <v>50</v>
      </c>
      <c r="F291" t="s">
        <v>51</v>
      </c>
      <c r="G291">
        <v>5</v>
      </c>
      <c r="H291">
        <v>2000</v>
      </c>
      <c r="I291">
        <v>10000</v>
      </c>
      <c r="J291" t="s">
        <v>16</v>
      </c>
    </row>
    <row r="292" spans="1:10">
      <c r="A292">
        <v>1150</v>
      </c>
      <c r="B292" t="s">
        <v>162</v>
      </c>
      <c r="C292" t="s">
        <v>47</v>
      </c>
      <c r="D292" t="s">
        <v>18</v>
      </c>
      <c r="E292" t="s">
        <v>50</v>
      </c>
      <c r="F292" t="s">
        <v>51</v>
      </c>
      <c r="G292">
        <v>5</v>
      </c>
      <c r="H292">
        <v>2000</v>
      </c>
      <c r="I292">
        <v>10000</v>
      </c>
      <c r="J292" t="s">
        <v>16</v>
      </c>
    </row>
    <row r="293" spans="1:10">
      <c r="A293">
        <v>1166</v>
      </c>
      <c r="B293" t="s">
        <v>172</v>
      </c>
      <c r="C293" t="s">
        <v>60</v>
      </c>
      <c r="D293" t="s">
        <v>18</v>
      </c>
      <c r="E293" t="s">
        <v>50</v>
      </c>
      <c r="F293" t="s">
        <v>51</v>
      </c>
      <c r="G293">
        <v>5</v>
      </c>
      <c r="H293">
        <v>2000</v>
      </c>
      <c r="I293">
        <v>10000</v>
      </c>
      <c r="J293" t="s">
        <v>16</v>
      </c>
    </row>
    <row r="294" spans="1:10">
      <c r="A294">
        <v>1320</v>
      </c>
      <c r="B294" t="s">
        <v>222</v>
      </c>
      <c r="C294" t="s">
        <v>47</v>
      </c>
      <c r="D294" t="s">
        <v>23</v>
      </c>
      <c r="E294" t="s">
        <v>50</v>
      </c>
      <c r="F294" t="s">
        <v>51</v>
      </c>
      <c r="G294">
        <v>5</v>
      </c>
      <c r="H294">
        <v>2000</v>
      </c>
      <c r="I294">
        <v>10000</v>
      </c>
      <c r="J294" t="s">
        <v>16</v>
      </c>
    </row>
    <row r="295" spans="1:10">
      <c r="A295">
        <v>1322</v>
      </c>
      <c r="B295" t="s">
        <v>93</v>
      </c>
      <c r="C295" t="s">
        <v>25</v>
      </c>
      <c r="D295" t="s">
        <v>18</v>
      </c>
      <c r="E295" t="s">
        <v>50</v>
      </c>
      <c r="F295" t="s">
        <v>51</v>
      </c>
      <c r="G295">
        <v>5</v>
      </c>
      <c r="H295">
        <v>2000</v>
      </c>
      <c r="I295">
        <v>10000</v>
      </c>
      <c r="J295" t="s">
        <v>38</v>
      </c>
    </row>
    <row r="296" spans="1:10">
      <c r="A296">
        <v>1415</v>
      </c>
      <c r="B296" t="s">
        <v>284</v>
      </c>
      <c r="C296" t="s">
        <v>32</v>
      </c>
      <c r="D296" t="s">
        <v>18</v>
      </c>
      <c r="E296" t="s">
        <v>50</v>
      </c>
      <c r="F296" t="s">
        <v>51</v>
      </c>
      <c r="G296">
        <v>5</v>
      </c>
      <c r="H296">
        <v>2000</v>
      </c>
      <c r="I296">
        <v>10000</v>
      </c>
      <c r="J296" t="s">
        <v>20</v>
      </c>
    </row>
    <row r="297" spans="1:10">
      <c r="A297">
        <v>1444</v>
      </c>
      <c r="B297" t="s">
        <v>293</v>
      </c>
      <c r="C297" t="s">
        <v>12</v>
      </c>
      <c r="D297" t="s">
        <v>13</v>
      </c>
      <c r="E297" t="s">
        <v>50</v>
      </c>
      <c r="F297" t="s">
        <v>51</v>
      </c>
      <c r="G297">
        <v>5</v>
      </c>
      <c r="H297">
        <v>2000</v>
      </c>
      <c r="I297">
        <v>10000</v>
      </c>
      <c r="J297" t="s">
        <v>16</v>
      </c>
    </row>
    <row r="298" spans="1:10">
      <c r="A298">
        <v>1445</v>
      </c>
      <c r="B298" t="s">
        <v>294</v>
      </c>
      <c r="C298" t="s">
        <v>47</v>
      </c>
      <c r="D298" t="s">
        <v>23</v>
      </c>
      <c r="E298" t="s">
        <v>50</v>
      </c>
      <c r="F298" t="s">
        <v>51</v>
      </c>
      <c r="G298">
        <v>5</v>
      </c>
      <c r="H298">
        <v>2000</v>
      </c>
      <c r="I298">
        <v>10000</v>
      </c>
      <c r="J298" t="s">
        <v>16</v>
      </c>
    </row>
    <row r="299" spans="1:10">
      <c r="A299">
        <v>1470</v>
      </c>
      <c r="B299" t="s">
        <v>70</v>
      </c>
      <c r="C299" t="s">
        <v>12</v>
      </c>
      <c r="D299" t="s">
        <v>30</v>
      </c>
      <c r="E299" t="s">
        <v>50</v>
      </c>
      <c r="F299" t="s">
        <v>51</v>
      </c>
      <c r="G299">
        <v>5</v>
      </c>
      <c r="H299">
        <v>2000</v>
      </c>
      <c r="I299">
        <v>10000</v>
      </c>
      <c r="J299" t="s">
        <v>38</v>
      </c>
    </row>
    <row r="300" spans="1:10">
      <c r="A300">
        <v>1017</v>
      </c>
      <c r="B300" t="s">
        <v>52</v>
      </c>
      <c r="C300" t="s">
        <v>32</v>
      </c>
      <c r="D300" t="s">
        <v>23</v>
      </c>
      <c r="E300" t="s">
        <v>19</v>
      </c>
      <c r="F300" t="s">
        <v>15</v>
      </c>
      <c r="G300">
        <v>2</v>
      </c>
      <c r="H300">
        <v>4500</v>
      </c>
      <c r="I300">
        <v>9000</v>
      </c>
      <c r="J300" t="s">
        <v>34</v>
      </c>
    </row>
    <row r="301" spans="1:10">
      <c r="A301">
        <v>1047</v>
      </c>
      <c r="B301" t="s">
        <v>85</v>
      </c>
      <c r="C301" t="s">
        <v>47</v>
      </c>
      <c r="D301" t="s">
        <v>18</v>
      </c>
      <c r="E301" t="s">
        <v>19</v>
      </c>
      <c r="F301" t="s">
        <v>15</v>
      </c>
      <c r="G301">
        <v>2</v>
      </c>
      <c r="H301">
        <v>4500</v>
      </c>
      <c r="I301">
        <v>9000</v>
      </c>
      <c r="J301" t="s">
        <v>16</v>
      </c>
    </row>
    <row r="302" spans="1:10">
      <c r="A302">
        <v>1091</v>
      </c>
      <c r="B302" t="s">
        <v>120</v>
      </c>
      <c r="C302" t="s">
        <v>42</v>
      </c>
      <c r="D302" t="s">
        <v>23</v>
      </c>
      <c r="E302" t="s">
        <v>19</v>
      </c>
      <c r="F302" t="s">
        <v>15</v>
      </c>
      <c r="G302">
        <v>2</v>
      </c>
      <c r="H302">
        <v>4500</v>
      </c>
      <c r="I302">
        <v>9000</v>
      </c>
      <c r="J302" t="s">
        <v>20</v>
      </c>
    </row>
    <row r="303" spans="1:10">
      <c r="A303">
        <v>1117</v>
      </c>
      <c r="B303" t="s">
        <v>129</v>
      </c>
      <c r="C303" t="s">
        <v>71</v>
      </c>
      <c r="D303" t="s">
        <v>23</v>
      </c>
      <c r="E303" t="s">
        <v>19</v>
      </c>
      <c r="F303" t="s">
        <v>15</v>
      </c>
      <c r="G303">
        <v>2</v>
      </c>
      <c r="H303">
        <v>4500</v>
      </c>
      <c r="I303">
        <v>9000</v>
      </c>
      <c r="J303" t="s">
        <v>38</v>
      </c>
    </row>
    <row r="304" spans="1:10">
      <c r="A304">
        <v>1183</v>
      </c>
      <c r="B304" t="s">
        <v>184</v>
      </c>
      <c r="C304" t="s">
        <v>71</v>
      </c>
      <c r="D304" t="s">
        <v>30</v>
      </c>
      <c r="E304" t="s">
        <v>19</v>
      </c>
      <c r="F304" t="s">
        <v>15</v>
      </c>
      <c r="G304">
        <v>2</v>
      </c>
      <c r="H304">
        <v>4500</v>
      </c>
      <c r="I304">
        <v>9000</v>
      </c>
      <c r="J304" t="s">
        <v>16</v>
      </c>
    </row>
    <row r="305" spans="1:10">
      <c r="A305">
        <v>1185</v>
      </c>
      <c r="B305" t="s">
        <v>160</v>
      </c>
      <c r="C305" t="s">
        <v>54</v>
      </c>
      <c r="D305" t="s">
        <v>23</v>
      </c>
      <c r="E305" t="s">
        <v>19</v>
      </c>
      <c r="F305" t="s">
        <v>15</v>
      </c>
      <c r="G305">
        <v>2</v>
      </c>
      <c r="H305">
        <v>4500</v>
      </c>
      <c r="I305">
        <v>9000</v>
      </c>
      <c r="J305" t="s">
        <v>16</v>
      </c>
    </row>
    <row r="306" spans="1:10">
      <c r="A306">
        <v>1263</v>
      </c>
      <c r="B306" t="s">
        <v>228</v>
      </c>
      <c r="C306" t="s">
        <v>54</v>
      </c>
      <c r="D306" t="s">
        <v>23</v>
      </c>
      <c r="E306" t="s">
        <v>19</v>
      </c>
      <c r="F306" t="s">
        <v>15</v>
      </c>
      <c r="G306">
        <v>2</v>
      </c>
      <c r="H306">
        <v>4500</v>
      </c>
      <c r="I306">
        <v>9000</v>
      </c>
      <c r="J306" t="s">
        <v>34</v>
      </c>
    </row>
    <row r="307" spans="1:10">
      <c r="A307">
        <v>1349</v>
      </c>
      <c r="B307" t="s">
        <v>259</v>
      </c>
      <c r="C307" t="s">
        <v>60</v>
      </c>
      <c r="D307" t="s">
        <v>23</v>
      </c>
      <c r="E307" t="s">
        <v>19</v>
      </c>
      <c r="F307" t="s">
        <v>15</v>
      </c>
      <c r="G307">
        <v>2</v>
      </c>
      <c r="H307">
        <v>4500</v>
      </c>
      <c r="I307">
        <v>9000</v>
      </c>
      <c r="J307" t="s">
        <v>38</v>
      </c>
    </row>
    <row r="308" spans="1:10">
      <c r="A308">
        <v>1367</v>
      </c>
      <c r="B308" t="s">
        <v>147</v>
      </c>
      <c r="C308" t="s">
        <v>54</v>
      </c>
      <c r="D308" t="s">
        <v>13</v>
      </c>
      <c r="E308" t="s">
        <v>19</v>
      </c>
      <c r="F308" t="s">
        <v>15</v>
      </c>
      <c r="G308">
        <v>2</v>
      </c>
      <c r="H308">
        <v>4500</v>
      </c>
      <c r="I308">
        <v>9000</v>
      </c>
      <c r="J308" t="s">
        <v>38</v>
      </c>
    </row>
    <row r="309" spans="1:10">
      <c r="A309">
        <v>1392</v>
      </c>
      <c r="B309" t="s">
        <v>135</v>
      </c>
      <c r="C309" t="s">
        <v>54</v>
      </c>
      <c r="D309" t="s">
        <v>23</v>
      </c>
      <c r="E309" t="s">
        <v>19</v>
      </c>
      <c r="F309" t="s">
        <v>15</v>
      </c>
      <c r="G309">
        <v>2</v>
      </c>
      <c r="H309">
        <v>4500</v>
      </c>
      <c r="I309">
        <v>9000</v>
      </c>
      <c r="J309" t="s">
        <v>34</v>
      </c>
    </row>
    <row r="310" spans="1:10">
      <c r="A310">
        <v>1439</v>
      </c>
      <c r="B310" t="s">
        <v>222</v>
      </c>
      <c r="C310" t="s">
        <v>47</v>
      </c>
      <c r="D310" t="s">
        <v>30</v>
      </c>
      <c r="E310" t="s">
        <v>19</v>
      </c>
      <c r="F310" t="s">
        <v>15</v>
      </c>
      <c r="G310">
        <v>2</v>
      </c>
      <c r="H310">
        <v>4500</v>
      </c>
      <c r="I310">
        <v>9000</v>
      </c>
      <c r="J310" t="s">
        <v>38</v>
      </c>
    </row>
    <row r="311" spans="1:10">
      <c r="A311">
        <v>1475</v>
      </c>
      <c r="B311" t="s">
        <v>45</v>
      </c>
      <c r="C311" t="s">
        <v>54</v>
      </c>
      <c r="D311" t="s">
        <v>18</v>
      </c>
      <c r="E311" t="s">
        <v>19</v>
      </c>
      <c r="F311" t="s">
        <v>15</v>
      </c>
      <c r="G311">
        <v>2</v>
      </c>
      <c r="H311">
        <v>4500</v>
      </c>
      <c r="I311">
        <v>9000</v>
      </c>
      <c r="J311" t="s">
        <v>38</v>
      </c>
    </row>
    <row r="312" spans="1:10">
      <c r="A312">
        <v>1009</v>
      </c>
      <c r="B312" t="s">
        <v>37</v>
      </c>
      <c r="C312" t="s">
        <v>22</v>
      </c>
      <c r="D312" t="s">
        <v>23</v>
      </c>
      <c r="E312" t="s">
        <v>14</v>
      </c>
      <c r="F312" t="s">
        <v>15</v>
      </c>
      <c r="G312">
        <v>1</v>
      </c>
      <c r="H312">
        <v>8000</v>
      </c>
      <c r="I312">
        <v>8000</v>
      </c>
      <c r="J312" t="s">
        <v>38</v>
      </c>
    </row>
    <row r="313" spans="1:10">
      <c r="A313">
        <v>1016</v>
      </c>
      <c r="B313" t="s">
        <v>49</v>
      </c>
      <c r="C313" t="s">
        <v>25</v>
      </c>
      <c r="D313" t="s">
        <v>13</v>
      </c>
      <c r="E313" t="s">
        <v>50</v>
      </c>
      <c r="F313" t="s">
        <v>51</v>
      </c>
      <c r="G313">
        <v>4</v>
      </c>
      <c r="H313">
        <v>2000</v>
      </c>
      <c r="I313">
        <v>8000</v>
      </c>
      <c r="J313" t="s">
        <v>20</v>
      </c>
    </row>
    <row r="314" spans="1:10">
      <c r="A314">
        <v>1019</v>
      </c>
      <c r="B314" t="s">
        <v>55</v>
      </c>
      <c r="C314" t="s">
        <v>42</v>
      </c>
      <c r="D314" t="s">
        <v>23</v>
      </c>
      <c r="E314" t="s">
        <v>14</v>
      </c>
      <c r="F314" t="s">
        <v>15</v>
      </c>
      <c r="G314">
        <v>1</v>
      </c>
      <c r="H314">
        <v>8000</v>
      </c>
      <c r="I314">
        <v>8000</v>
      </c>
      <c r="J314" t="s">
        <v>20</v>
      </c>
    </row>
    <row r="315" spans="1:10">
      <c r="A315">
        <v>1036</v>
      </c>
      <c r="B315" t="s">
        <v>75</v>
      </c>
      <c r="C315" t="s">
        <v>25</v>
      </c>
      <c r="D315" t="s">
        <v>23</v>
      </c>
      <c r="E315" t="s">
        <v>50</v>
      </c>
      <c r="F315" t="s">
        <v>51</v>
      </c>
      <c r="G315">
        <v>4</v>
      </c>
      <c r="H315">
        <v>2000</v>
      </c>
      <c r="I315">
        <v>8000</v>
      </c>
      <c r="J315" t="s">
        <v>16</v>
      </c>
    </row>
    <row r="316" spans="1:10">
      <c r="A316">
        <v>1081</v>
      </c>
      <c r="B316" t="s">
        <v>113</v>
      </c>
      <c r="C316" t="s">
        <v>29</v>
      </c>
      <c r="D316" t="s">
        <v>23</v>
      </c>
      <c r="E316" t="s">
        <v>50</v>
      </c>
      <c r="F316" t="s">
        <v>51</v>
      </c>
      <c r="G316">
        <v>4</v>
      </c>
      <c r="H316">
        <v>2000</v>
      </c>
      <c r="I316">
        <v>8000</v>
      </c>
      <c r="J316" t="s">
        <v>34</v>
      </c>
    </row>
    <row r="317" spans="1:10">
      <c r="A317">
        <v>1085</v>
      </c>
      <c r="B317" t="s">
        <v>115</v>
      </c>
      <c r="C317" t="s">
        <v>54</v>
      </c>
      <c r="D317" t="s">
        <v>18</v>
      </c>
      <c r="E317" t="s">
        <v>14</v>
      </c>
      <c r="F317" t="s">
        <v>15</v>
      </c>
      <c r="G317">
        <v>1</v>
      </c>
      <c r="H317">
        <v>8000</v>
      </c>
      <c r="I317">
        <v>8000</v>
      </c>
      <c r="J317" t="s">
        <v>38</v>
      </c>
    </row>
    <row r="318" spans="1:10">
      <c r="A318">
        <v>1193</v>
      </c>
      <c r="B318" t="s">
        <v>190</v>
      </c>
      <c r="C318" t="s">
        <v>54</v>
      </c>
      <c r="D318" t="s">
        <v>13</v>
      </c>
      <c r="E318" t="s">
        <v>50</v>
      </c>
      <c r="F318" t="s">
        <v>51</v>
      </c>
      <c r="G318">
        <v>4</v>
      </c>
      <c r="H318">
        <v>2000</v>
      </c>
      <c r="I318">
        <v>8000</v>
      </c>
      <c r="J318" t="s">
        <v>38</v>
      </c>
    </row>
    <row r="319" spans="1:10">
      <c r="A319">
        <v>1211</v>
      </c>
      <c r="B319" t="s">
        <v>204</v>
      </c>
      <c r="C319" t="s">
        <v>32</v>
      </c>
      <c r="D319" t="s">
        <v>13</v>
      </c>
      <c r="E319" t="s">
        <v>50</v>
      </c>
      <c r="F319" t="s">
        <v>51</v>
      </c>
      <c r="G319">
        <v>4</v>
      </c>
      <c r="H319">
        <v>2000</v>
      </c>
      <c r="I319">
        <v>8000</v>
      </c>
      <c r="J319" t="s">
        <v>34</v>
      </c>
    </row>
    <row r="320" spans="1:10">
      <c r="A320">
        <v>1215</v>
      </c>
      <c r="B320" t="s">
        <v>79</v>
      </c>
      <c r="C320" t="s">
        <v>54</v>
      </c>
      <c r="D320" t="s">
        <v>23</v>
      </c>
      <c r="E320" t="s">
        <v>50</v>
      </c>
      <c r="F320" t="s">
        <v>51</v>
      </c>
      <c r="G320">
        <v>4</v>
      </c>
      <c r="H320">
        <v>2000</v>
      </c>
      <c r="I320">
        <v>8000</v>
      </c>
      <c r="J320" t="s">
        <v>16</v>
      </c>
    </row>
    <row r="321" spans="1:10">
      <c r="A321">
        <v>1245</v>
      </c>
      <c r="B321" t="s">
        <v>218</v>
      </c>
      <c r="C321" t="s">
        <v>54</v>
      </c>
      <c r="D321" t="s">
        <v>18</v>
      </c>
      <c r="E321" t="s">
        <v>50</v>
      </c>
      <c r="F321" t="s">
        <v>51</v>
      </c>
      <c r="G321">
        <v>4</v>
      </c>
      <c r="H321">
        <v>2000</v>
      </c>
      <c r="I321">
        <v>8000</v>
      </c>
      <c r="J321" t="s">
        <v>20</v>
      </c>
    </row>
    <row r="322" spans="1:10">
      <c r="A322">
        <v>1259</v>
      </c>
      <c r="B322" t="s">
        <v>225</v>
      </c>
      <c r="C322" t="s">
        <v>71</v>
      </c>
      <c r="D322" t="s">
        <v>30</v>
      </c>
      <c r="E322" t="s">
        <v>14</v>
      </c>
      <c r="F322" t="s">
        <v>15</v>
      </c>
      <c r="G322">
        <v>1</v>
      </c>
      <c r="H322">
        <v>8000</v>
      </c>
      <c r="I322">
        <v>8000</v>
      </c>
      <c r="J322" t="s">
        <v>16</v>
      </c>
    </row>
    <row r="323" spans="1:10">
      <c r="A323">
        <v>1274</v>
      </c>
      <c r="B323" t="s">
        <v>121</v>
      </c>
      <c r="C323" t="s">
        <v>42</v>
      </c>
      <c r="D323" t="s">
        <v>23</v>
      </c>
      <c r="E323" t="s">
        <v>14</v>
      </c>
      <c r="F323" t="s">
        <v>15</v>
      </c>
      <c r="G323">
        <v>1</v>
      </c>
      <c r="H323">
        <v>8000</v>
      </c>
      <c r="I323">
        <v>8000</v>
      </c>
      <c r="J323" t="s">
        <v>38</v>
      </c>
    </row>
    <row r="324" spans="1:10">
      <c r="A324">
        <v>1286</v>
      </c>
      <c r="B324" t="s">
        <v>120</v>
      </c>
      <c r="C324" t="s">
        <v>29</v>
      </c>
      <c r="D324" t="s">
        <v>30</v>
      </c>
      <c r="E324" t="s">
        <v>14</v>
      </c>
      <c r="F324" t="s">
        <v>15</v>
      </c>
      <c r="G324">
        <v>1</v>
      </c>
      <c r="H324">
        <v>8000</v>
      </c>
      <c r="I324">
        <v>8000</v>
      </c>
      <c r="J324" t="s">
        <v>38</v>
      </c>
    </row>
    <row r="325" spans="1:10">
      <c r="A325">
        <v>1312</v>
      </c>
      <c r="B325" t="s">
        <v>142</v>
      </c>
      <c r="C325" t="s">
        <v>12</v>
      </c>
      <c r="D325" t="s">
        <v>18</v>
      </c>
      <c r="E325" t="s">
        <v>14</v>
      </c>
      <c r="F325" t="s">
        <v>15</v>
      </c>
      <c r="G325">
        <v>1</v>
      </c>
      <c r="H325">
        <v>8000</v>
      </c>
      <c r="I325">
        <v>8000</v>
      </c>
      <c r="J325" t="s">
        <v>34</v>
      </c>
    </row>
    <row r="326" spans="1:10">
      <c r="A326">
        <v>1316</v>
      </c>
      <c r="B326" t="s">
        <v>35</v>
      </c>
      <c r="C326" t="s">
        <v>29</v>
      </c>
      <c r="D326" t="s">
        <v>23</v>
      </c>
      <c r="E326" t="s">
        <v>14</v>
      </c>
      <c r="F326" t="s">
        <v>15</v>
      </c>
      <c r="G326">
        <v>1</v>
      </c>
      <c r="H326">
        <v>8000</v>
      </c>
      <c r="I326">
        <v>8000</v>
      </c>
      <c r="J326" t="s">
        <v>16</v>
      </c>
    </row>
    <row r="327" spans="1:10">
      <c r="A327">
        <v>1368</v>
      </c>
      <c r="B327" t="s">
        <v>163</v>
      </c>
      <c r="C327" t="s">
        <v>42</v>
      </c>
      <c r="D327" t="s">
        <v>13</v>
      </c>
      <c r="E327" t="s">
        <v>14</v>
      </c>
      <c r="F327" t="s">
        <v>15</v>
      </c>
      <c r="G327">
        <v>1</v>
      </c>
      <c r="H327">
        <v>8000</v>
      </c>
      <c r="I327">
        <v>8000</v>
      </c>
      <c r="J327" t="s">
        <v>38</v>
      </c>
    </row>
    <row r="328" spans="1:10">
      <c r="A328">
        <v>1371</v>
      </c>
      <c r="B328" t="s">
        <v>95</v>
      </c>
      <c r="C328" t="s">
        <v>22</v>
      </c>
      <c r="D328" t="s">
        <v>13</v>
      </c>
      <c r="E328" t="s">
        <v>14</v>
      </c>
      <c r="F328" t="s">
        <v>15</v>
      </c>
      <c r="G328">
        <v>1</v>
      </c>
      <c r="H328">
        <v>8000</v>
      </c>
      <c r="I328">
        <v>8000</v>
      </c>
      <c r="J328" t="s">
        <v>20</v>
      </c>
    </row>
    <row r="329" spans="1:10">
      <c r="A329">
        <v>1384</v>
      </c>
      <c r="B329" t="s">
        <v>273</v>
      </c>
      <c r="C329" t="s">
        <v>47</v>
      </c>
      <c r="D329" t="s">
        <v>18</v>
      </c>
      <c r="E329" t="s">
        <v>14</v>
      </c>
      <c r="F329" t="s">
        <v>15</v>
      </c>
      <c r="G329">
        <v>1</v>
      </c>
      <c r="H329">
        <v>8000</v>
      </c>
      <c r="I329">
        <v>8000</v>
      </c>
      <c r="J329" t="s">
        <v>38</v>
      </c>
    </row>
    <row r="330" spans="1:10">
      <c r="A330">
        <v>1410</v>
      </c>
      <c r="B330" t="s">
        <v>252</v>
      </c>
      <c r="C330" t="s">
        <v>71</v>
      </c>
      <c r="D330" t="s">
        <v>30</v>
      </c>
      <c r="E330" t="s">
        <v>50</v>
      </c>
      <c r="F330" t="s">
        <v>51</v>
      </c>
      <c r="G330">
        <v>4</v>
      </c>
      <c r="H330">
        <v>2000</v>
      </c>
      <c r="I330">
        <v>8000</v>
      </c>
      <c r="J330" t="s">
        <v>38</v>
      </c>
    </row>
    <row r="331" spans="1:10">
      <c r="A331">
        <v>1413</v>
      </c>
      <c r="B331" t="s">
        <v>283</v>
      </c>
      <c r="C331" t="s">
        <v>71</v>
      </c>
      <c r="D331" t="s">
        <v>13</v>
      </c>
      <c r="E331" t="s">
        <v>50</v>
      </c>
      <c r="F331" t="s">
        <v>51</v>
      </c>
      <c r="G331">
        <v>4</v>
      </c>
      <c r="H331">
        <v>2000</v>
      </c>
      <c r="I331">
        <v>8000</v>
      </c>
      <c r="J331" t="s">
        <v>20</v>
      </c>
    </row>
    <row r="332" spans="1:10">
      <c r="A332">
        <v>1424</v>
      </c>
      <c r="B332" t="s">
        <v>17</v>
      </c>
      <c r="C332" t="s">
        <v>22</v>
      </c>
      <c r="D332" t="s">
        <v>30</v>
      </c>
      <c r="E332" t="s">
        <v>50</v>
      </c>
      <c r="F332" t="s">
        <v>51</v>
      </c>
      <c r="G332">
        <v>4</v>
      </c>
      <c r="H332">
        <v>2000</v>
      </c>
      <c r="I332">
        <v>8000</v>
      </c>
      <c r="J332" t="s">
        <v>38</v>
      </c>
    </row>
    <row r="333" spans="1:10">
      <c r="A333">
        <v>1447</v>
      </c>
      <c r="B333" t="s">
        <v>11</v>
      </c>
      <c r="C333" t="s">
        <v>12</v>
      </c>
      <c r="D333" t="s">
        <v>18</v>
      </c>
      <c r="E333" t="s">
        <v>14</v>
      </c>
      <c r="F333" t="s">
        <v>15</v>
      </c>
      <c r="G333">
        <v>1</v>
      </c>
      <c r="H333">
        <v>8000</v>
      </c>
      <c r="I333">
        <v>8000</v>
      </c>
      <c r="J333" t="s">
        <v>16</v>
      </c>
    </row>
    <row r="334" spans="1:10">
      <c r="A334">
        <v>1028</v>
      </c>
      <c r="B334" t="s">
        <v>66</v>
      </c>
      <c r="C334" t="s">
        <v>54</v>
      </c>
      <c r="D334" t="s">
        <v>30</v>
      </c>
      <c r="E334" t="s">
        <v>50</v>
      </c>
      <c r="F334" t="s">
        <v>51</v>
      </c>
      <c r="G334">
        <v>3</v>
      </c>
      <c r="H334">
        <v>2000</v>
      </c>
      <c r="I334">
        <v>6000</v>
      </c>
      <c r="J334" t="s">
        <v>16</v>
      </c>
    </row>
    <row r="335" spans="1:10">
      <c r="A335">
        <v>1174</v>
      </c>
      <c r="B335" t="s">
        <v>127</v>
      </c>
      <c r="C335" t="s">
        <v>22</v>
      </c>
      <c r="D335" t="s">
        <v>23</v>
      </c>
      <c r="E335" t="s">
        <v>50</v>
      </c>
      <c r="F335" t="s">
        <v>51</v>
      </c>
      <c r="G335">
        <v>3</v>
      </c>
      <c r="H335">
        <v>2000</v>
      </c>
      <c r="I335">
        <v>6000</v>
      </c>
      <c r="J335" t="s">
        <v>16</v>
      </c>
    </row>
    <row r="336" spans="1:10">
      <c r="A336">
        <v>1248</v>
      </c>
      <c r="B336" t="s">
        <v>220</v>
      </c>
      <c r="C336" t="s">
        <v>25</v>
      </c>
      <c r="D336" t="s">
        <v>13</v>
      </c>
      <c r="E336" t="s">
        <v>50</v>
      </c>
      <c r="F336" t="s">
        <v>51</v>
      </c>
      <c r="G336">
        <v>3</v>
      </c>
      <c r="H336">
        <v>2000</v>
      </c>
      <c r="I336">
        <v>6000</v>
      </c>
      <c r="J336" t="s">
        <v>20</v>
      </c>
    </row>
    <row r="337" spans="1:10">
      <c r="A337">
        <v>1294</v>
      </c>
      <c r="B337" t="s">
        <v>55</v>
      </c>
      <c r="C337" t="s">
        <v>29</v>
      </c>
      <c r="D337" t="s">
        <v>13</v>
      </c>
      <c r="E337" t="s">
        <v>50</v>
      </c>
      <c r="F337" t="s">
        <v>51</v>
      </c>
      <c r="G337">
        <v>3</v>
      </c>
      <c r="H337">
        <v>2000</v>
      </c>
      <c r="I337">
        <v>6000</v>
      </c>
      <c r="J337" t="s">
        <v>20</v>
      </c>
    </row>
    <row r="338" spans="1:10">
      <c r="A338">
        <v>1318</v>
      </c>
      <c r="B338" t="s">
        <v>248</v>
      </c>
      <c r="C338" t="s">
        <v>42</v>
      </c>
      <c r="D338" t="s">
        <v>13</v>
      </c>
      <c r="E338" t="s">
        <v>50</v>
      </c>
      <c r="F338" t="s">
        <v>51</v>
      </c>
      <c r="G338">
        <v>3</v>
      </c>
      <c r="H338">
        <v>2000</v>
      </c>
      <c r="I338">
        <v>6000</v>
      </c>
      <c r="J338" t="s">
        <v>38</v>
      </c>
    </row>
    <row r="339" spans="1:10">
      <c r="A339">
        <v>1378</v>
      </c>
      <c r="B339" t="s">
        <v>143</v>
      </c>
      <c r="C339" t="s">
        <v>47</v>
      </c>
      <c r="D339" t="s">
        <v>23</v>
      </c>
      <c r="E339" t="s">
        <v>50</v>
      </c>
      <c r="F339" t="s">
        <v>51</v>
      </c>
      <c r="G339">
        <v>3</v>
      </c>
      <c r="H339">
        <v>2000</v>
      </c>
      <c r="I339">
        <v>6000</v>
      </c>
      <c r="J339" t="s">
        <v>38</v>
      </c>
    </row>
    <row r="340" spans="1:10">
      <c r="A340">
        <v>1450</v>
      </c>
      <c r="B340" t="s">
        <v>72</v>
      </c>
      <c r="C340" t="s">
        <v>25</v>
      </c>
      <c r="D340" t="s">
        <v>23</v>
      </c>
      <c r="E340" t="s">
        <v>50</v>
      </c>
      <c r="F340" t="s">
        <v>51</v>
      </c>
      <c r="G340">
        <v>3</v>
      </c>
      <c r="H340">
        <v>2000</v>
      </c>
      <c r="I340">
        <v>6000</v>
      </c>
      <c r="J340" t="s">
        <v>34</v>
      </c>
    </row>
    <row r="341" spans="1:10">
      <c r="A341">
        <v>1457</v>
      </c>
      <c r="B341" t="s">
        <v>136</v>
      </c>
      <c r="C341" t="s">
        <v>22</v>
      </c>
      <c r="D341" t="s">
        <v>13</v>
      </c>
      <c r="E341" t="s">
        <v>50</v>
      </c>
      <c r="F341" t="s">
        <v>51</v>
      </c>
      <c r="G341">
        <v>3</v>
      </c>
      <c r="H341">
        <v>2000</v>
      </c>
      <c r="I341">
        <v>6000</v>
      </c>
      <c r="J341" t="s">
        <v>20</v>
      </c>
    </row>
    <row r="342" spans="1:10">
      <c r="A342">
        <v>1466</v>
      </c>
      <c r="B342" t="s">
        <v>216</v>
      </c>
      <c r="C342" t="s">
        <v>47</v>
      </c>
      <c r="D342" t="s">
        <v>23</v>
      </c>
      <c r="E342" t="s">
        <v>50</v>
      </c>
      <c r="F342" t="s">
        <v>51</v>
      </c>
      <c r="G342">
        <v>3</v>
      </c>
      <c r="H342">
        <v>2000</v>
      </c>
      <c r="I342">
        <v>6000</v>
      </c>
      <c r="J342" t="s">
        <v>34</v>
      </c>
    </row>
    <row r="343" spans="1:10">
      <c r="A343">
        <v>1488</v>
      </c>
      <c r="B343" t="s">
        <v>264</v>
      </c>
      <c r="C343" t="s">
        <v>25</v>
      </c>
      <c r="D343" t="s">
        <v>23</v>
      </c>
      <c r="E343" t="s">
        <v>50</v>
      </c>
      <c r="F343" t="s">
        <v>51</v>
      </c>
      <c r="G343">
        <v>3</v>
      </c>
      <c r="H343">
        <v>2000</v>
      </c>
      <c r="I343">
        <v>6000</v>
      </c>
      <c r="J343" t="s">
        <v>38</v>
      </c>
    </row>
    <row r="344" spans="1:10">
      <c r="A344">
        <v>1498</v>
      </c>
      <c r="B344" t="s">
        <v>307</v>
      </c>
      <c r="C344" t="s">
        <v>42</v>
      </c>
      <c r="D344" t="s">
        <v>23</v>
      </c>
      <c r="E344" t="s">
        <v>50</v>
      </c>
      <c r="F344" t="s">
        <v>51</v>
      </c>
      <c r="G344">
        <v>3</v>
      </c>
      <c r="H344">
        <v>2000</v>
      </c>
      <c r="I344">
        <v>6000</v>
      </c>
      <c r="J344" t="s">
        <v>38</v>
      </c>
    </row>
    <row r="345" spans="1:10">
      <c r="A345">
        <v>1008</v>
      </c>
      <c r="B345" t="s">
        <v>36</v>
      </c>
      <c r="C345" t="s">
        <v>25</v>
      </c>
      <c r="D345" t="s">
        <v>18</v>
      </c>
      <c r="E345" t="s">
        <v>19</v>
      </c>
      <c r="F345" t="s">
        <v>15</v>
      </c>
      <c r="G345">
        <v>1</v>
      </c>
      <c r="H345">
        <v>4500</v>
      </c>
      <c r="I345">
        <v>4500</v>
      </c>
      <c r="J345" t="s">
        <v>20</v>
      </c>
    </row>
    <row r="346" spans="1:10">
      <c r="A346">
        <v>1076</v>
      </c>
      <c r="B346" t="s">
        <v>110</v>
      </c>
      <c r="C346" t="s">
        <v>29</v>
      </c>
      <c r="D346" t="s">
        <v>30</v>
      </c>
      <c r="E346" t="s">
        <v>19</v>
      </c>
      <c r="F346" t="s">
        <v>15</v>
      </c>
      <c r="G346">
        <v>1</v>
      </c>
      <c r="H346">
        <v>4500</v>
      </c>
      <c r="I346">
        <v>4500</v>
      </c>
      <c r="J346" t="s">
        <v>16</v>
      </c>
    </row>
    <row r="347" spans="1:10">
      <c r="A347">
        <v>1082</v>
      </c>
      <c r="B347" t="s">
        <v>45</v>
      </c>
      <c r="C347" t="s">
        <v>32</v>
      </c>
      <c r="D347" t="s">
        <v>13</v>
      </c>
      <c r="E347" t="s">
        <v>19</v>
      </c>
      <c r="F347" t="s">
        <v>15</v>
      </c>
      <c r="G347">
        <v>1</v>
      </c>
      <c r="H347">
        <v>4500</v>
      </c>
      <c r="I347">
        <v>4500</v>
      </c>
      <c r="J347" t="s">
        <v>38</v>
      </c>
    </row>
    <row r="348" spans="1:10">
      <c r="A348">
        <v>1107</v>
      </c>
      <c r="B348" t="s">
        <v>133</v>
      </c>
      <c r="C348" t="s">
        <v>71</v>
      </c>
      <c r="D348" t="s">
        <v>30</v>
      </c>
      <c r="E348" t="s">
        <v>19</v>
      </c>
      <c r="F348" t="s">
        <v>15</v>
      </c>
      <c r="G348">
        <v>1</v>
      </c>
      <c r="H348">
        <v>4500</v>
      </c>
      <c r="I348">
        <v>4500</v>
      </c>
      <c r="J348" t="s">
        <v>16</v>
      </c>
    </row>
    <row r="349" spans="1:10">
      <c r="A349">
        <v>1229</v>
      </c>
      <c r="B349" t="s">
        <v>213</v>
      </c>
      <c r="C349" t="s">
        <v>29</v>
      </c>
      <c r="D349" t="s">
        <v>18</v>
      </c>
      <c r="E349" t="s">
        <v>19</v>
      </c>
      <c r="F349" t="s">
        <v>15</v>
      </c>
      <c r="G349">
        <v>1</v>
      </c>
      <c r="H349">
        <v>4500</v>
      </c>
      <c r="I349">
        <v>4500</v>
      </c>
      <c r="J349" t="s">
        <v>38</v>
      </c>
    </row>
    <row r="350" spans="1:10">
      <c r="A350">
        <v>1292</v>
      </c>
      <c r="B350" t="s">
        <v>107</v>
      </c>
      <c r="C350" t="s">
        <v>47</v>
      </c>
      <c r="D350" t="s">
        <v>18</v>
      </c>
      <c r="E350" t="s">
        <v>19</v>
      </c>
      <c r="F350" t="s">
        <v>15</v>
      </c>
      <c r="G350">
        <v>1</v>
      </c>
      <c r="H350">
        <v>4500</v>
      </c>
      <c r="I350">
        <v>4500</v>
      </c>
      <c r="J350" t="s">
        <v>38</v>
      </c>
    </row>
    <row r="351" spans="1:10">
      <c r="A351">
        <v>1330</v>
      </c>
      <c r="B351" t="s">
        <v>231</v>
      </c>
      <c r="C351" t="s">
        <v>71</v>
      </c>
      <c r="D351" t="s">
        <v>30</v>
      </c>
      <c r="E351" t="s">
        <v>19</v>
      </c>
      <c r="F351" t="s">
        <v>15</v>
      </c>
      <c r="G351">
        <v>1</v>
      </c>
      <c r="H351">
        <v>4500</v>
      </c>
      <c r="I351">
        <v>4500</v>
      </c>
      <c r="J351" t="s">
        <v>20</v>
      </c>
    </row>
    <row r="352" spans="1:10">
      <c r="A352">
        <v>1360</v>
      </c>
      <c r="B352" t="s">
        <v>167</v>
      </c>
      <c r="C352" t="s">
        <v>29</v>
      </c>
      <c r="D352" t="s">
        <v>30</v>
      </c>
      <c r="E352" t="s">
        <v>19</v>
      </c>
      <c r="F352" t="s">
        <v>15</v>
      </c>
      <c r="G352">
        <v>1</v>
      </c>
      <c r="H352">
        <v>4500</v>
      </c>
      <c r="I352">
        <v>4500</v>
      </c>
      <c r="J352" t="s">
        <v>34</v>
      </c>
    </row>
    <row r="353" spans="1:10">
      <c r="A353">
        <v>1022</v>
      </c>
      <c r="B353" t="s">
        <v>59</v>
      </c>
      <c r="C353" t="s">
        <v>60</v>
      </c>
      <c r="D353" t="s">
        <v>13</v>
      </c>
      <c r="E353" t="s">
        <v>50</v>
      </c>
      <c r="F353" t="s">
        <v>51</v>
      </c>
      <c r="G353">
        <v>2</v>
      </c>
      <c r="H353">
        <v>2000</v>
      </c>
      <c r="I353">
        <v>4000</v>
      </c>
      <c r="J353" t="s">
        <v>16</v>
      </c>
    </row>
    <row r="354" spans="1:10">
      <c r="A354">
        <v>1155</v>
      </c>
      <c r="B354" t="s">
        <v>136</v>
      </c>
      <c r="C354" t="s">
        <v>29</v>
      </c>
      <c r="D354" t="s">
        <v>23</v>
      </c>
      <c r="E354" t="s">
        <v>50</v>
      </c>
      <c r="F354" t="s">
        <v>51</v>
      </c>
      <c r="G354">
        <v>2</v>
      </c>
      <c r="H354">
        <v>2000</v>
      </c>
      <c r="I354">
        <v>4000</v>
      </c>
      <c r="J354" t="s">
        <v>16</v>
      </c>
    </row>
    <row r="355" spans="1:10">
      <c r="A355">
        <v>1194</v>
      </c>
      <c r="B355" t="s">
        <v>67</v>
      </c>
      <c r="C355" t="s">
        <v>29</v>
      </c>
      <c r="D355" t="s">
        <v>18</v>
      </c>
      <c r="E355" t="s">
        <v>50</v>
      </c>
      <c r="F355" t="s">
        <v>51</v>
      </c>
      <c r="G355">
        <v>2</v>
      </c>
      <c r="H355">
        <v>2000</v>
      </c>
      <c r="I355">
        <v>4000</v>
      </c>
      <c r="J355" t="s">
        <v>16</v>
      </c>
    </row>
    <row r="356" spans="1:10">
      <c r="A356">
        <v>1220</v>
      </c>
      <c r="B356" t="s">
        <v>90</v>
      </c>
      <c r="C356" t="s">
        <v>42</v>
      </c>
      <c r="D356" t="s">
        <v>30</v>
      </c>
      <c r="E356" t="s">
        <v>50</v>
      </c>
      <c r="F356" t="s">
        <v>51</v>
      </c>
      <c r="G356">
        <v>2</v>
      </c>
      <c r="H356">
        <v>2000</v>
      </c>
      <c r="I356">
        <v>4000</v>
      </c>
      <c r="J356" t="s">
        <v>38</v>
      </c>
    </row>
    <row r="357" spans="1:10">
      <c r="A357">
        <v>1246</v>
      </c>
      <c r="B357" t="s">
        <v>151</v>
      </c>
      <c r="C357" t="s">
        <v>42</v>
      </c>
      <c r="D357" t="s">
        <v>23</v>
      </c>
      <c r="E357" t="s">
        <v>50</v>
      </c>
      <c r="F357" t="s">
        <v>51</v>
      </c>
      <c r="G357">
        <v>2</v>
      </c>
      <c r="H357">
        <v>2000</v>
      </c>
      <c r="I357">
        <v>4000</v>
      </c>
      <c r="J357" t="s">
        <v>34</v>
      </c>
    </row>
    <row r="358" spans="1:10">
      <c r="A358">
        <v>1249</v>
      </c>
      <c r="B358" t="s">
        <v>115</v>
      </c>
      <c r="C358" t="s">
        <v>42</v>
      </c>
      <c r="D358" t="s">
        <v>18</v>
      </c>
      <c r="E358" t="s">
        <v>50</v>
      </c>
      <c r="F358" t="s">
        <v>51</v>
      </c>
      <c r="G358">
        <v>2</v>
      </c>
      <c r="H358">
        <v>2000</v>
      </c>
      <c r="I358">
        <v>4000</v>
      </c>
      <c r="J358" t="s">
        <v>20</v>
      </c>
    </row>
    <row r="359" spans="1:10">
      <c r="A359">
        <v>1252</v>
      </c>
      <c r="B359" t="s">
        <v>222</v>
      </c>
      <c r="C359" t="s">
        <v>71</v>
      </c>
      <c r="D359" t="s">
        <v>23</v>
      </c>
      <c r="E359" t="s">
        <v>50</v>
      </c>
      <c r="F359" t="s">
        <v>51</v>
      </c>
      <c r="G359">
        <v>2</v>
      </c>
      <c r="H359">
        <v>2000</v>
      </c>
      <c r="I359">
        <v>4000</v>
      </c>
      <c r="J359" t="s">
        <v>34</v>
      </c>
    </row>
    <row r="360" spans="1:10">
      <c r="A360">
        <v>1269</v>
      </c>
      <c r="B360" t="s">
        <v>231</v>
      </c>
      <c r="C360" t="s">
        <v>54</v>
      </c>
      <c r="D360" t="s">
        <v>18</v>
      </c>
      <c r="E360" t="s">
        <v>50</v>
      </c>
      <c r="F360" t="s">
        <v>51</v>
      </c>
      <c r="G360">
        <v>2</v>
      </c>
      <c r="H360">
        <v>2000</v>
      </c>
      <c r="I360">
        <v>4000</v>
      </c>
      <c r="J360" t="s">
        <v>34</v>
      </c>
    </row>
    <row r="361" spans="1:10">
      <c r="A361">
        <v>1297</v>
      </c>
      <c r="B361" t="s">
        <v>135</v>
      </c>
      <c r="C361" t="s">
        <v>29</v>
      </c>
      <c r="D361" t="s">
        <v>13</v>
      </c>
      <c r="E361" t="s">
        <v>50</v>
      </c>
      <c r="F361" t="s">
        <v>51</v>
      </c>
      <c r="G361">
        <v>2</v>
      </c>
      <c r="H361">
        <v>2000</v>
      </c>
      <c r="I361">
        <v>4000</v>
      </c>
      <c r="J361" t="s">
        <v>38</v>
      </c>
    </row>
    <row r="362" spans="1:10">
      <c r="A362">
        <v>1329</v>
      </c>
      <c r="B362" t="s">
        <v>193</v>
      </c>
      <c r="C362" t="s">
        <v>42</v>
      </c>
      <c r="D362" t="s">
        <v>23</v>
      </c>
      <c r="E362" t="s">
        <v>50</v>
      </c>
      <c r="F362" t="s">
        <v>51</v>
      </c>
      <c r="G362">
        <v>2</v>
      </c>
      <c r="H362">
        <v>2000</v>
      </c>
      <c r="I362">
        <v>4000</v>
      </c>
      <c r="J362" t="s">
        <v>20</v>
      </c>
    </row>
    <row r="363" spans="1:10">
      <c r="A363">
        <v>1400</v>
      </c>
      <c r="B363" t="s">
        <v>88</v>
      </c>
      <c r="C363" t="s">
        <v>32</v>
      </c>
      <c r="D363" t="s">
        <v>18</v>
      </c>
      <c r="E363" t="s">
        <v>50</v>
      </c>
      <c r="F363" t="s">
        <v>51</v>
      </c>
      <c r="G363">
        <v>2</v>
      </c>
      <c r="H363">
        <v>2000</v>
      </c>
      <c r="I363">
        <v>4000</v>
      </c>
      <c r="J363" t="s">
        <v>16</v>
      </c>
    </row>
    <row r="364" spans="1:10">
      <c r="A364">
        <v>1402</v>
      </c>
      <c r="B364" t="s">
        <v>281</v>
      </c>
      <c r="C364" t="s">
        <v>32</v>
      </c>
      <c r="D364" t="s">
        <v>30</v>
      </c>
      <c r="E364" t="s">
        <v>50</v>
      </c>
      <c r="F364" t="s">
        <v>51</v>
      </c>
      <c r="G364">
        <v>2</v>
      </c>
      <c r="H364">
        <v>2000</v>
      </c>
      <c r="I364">
        <v>4000</v>
      </c>
      <c r="J364" t="s">
        <v>38</v>
      </c>
    </row>
    <row r="365" spans="1:10">
      <c r="A365">
        <v>1058</v>
      </c>
      <c r="B365" t="s">
        <v>93</v>
      </c>
      <c r="C365" t="s">
        <v>12</v>
      </c>
      <c r="D365" t="s">
        <v>18</v>
      </c>
      <c r="E365" t="s">
        <v>50</v>
      </c>
      <c r="F365" t="s">
        <v>51</v>
      </c>
      <c r="G365">
        <v>1</v>
      </c>
      <c r="H365">
        <v>2000</v>
      </c>
      <c r="I365">
        <v>2000</v>
      </c>
      <c r="J365" t="s">
        <v>34</v>
      </c>
    </row>
    <row r="366" spans="1:10">
      <c r="A366">
        <v>1059</v>
      </c>
      <c r="B366" t="s">
        <v>65</v>
      </c>
      <c r="C366" t="s">
        <v>47</v>
      </c>
      <c r="D366" t="s">
        <v>18</v>
      </c>
      <c r="E366" t="s">
        <v>50</v>
      </c>
      <c r="F366" t="s">
        <v>51</v>
      </c>
      <c r="G366">
        <v>1</v>
      </c>
      <c r="H366">
        <v>2000</v>
      </c>
      <c r="I366">
        <v>2000</v>
      </c>
      <c r="J366" t="s">
        <v>20</v>
      </c>
    </row>
    <row r="367" spans="1:10">
      <c r="A367">
        <v>1092</v>
      </c>
      <c r="B367" t="s">
        <v>121</v>
      </c>
      <c r="C367" t="s">
        <v>22</v>
      </c>
      <c r="D367" t="s">
        <v>18</v>
      </c>
      <c r="E367" t="s">
        <v>50</v>
      </c>
      <c r="F367" t="s">
        <v>51</v>
      </c>
      <c r="G367">
        <v>1</v>
      </c>
      <c r="H367">
        <v>2000</v>
      </c>
      <c r="I367">
        <v>2000</v>
      </c>
      <c r="J367" t="s">
        <v>34</v>
      </c>
    </row>
    <row r="368" spans="1:10">
      <c r="A368">
        <v>1148</v>
      </c>
      <c r="B368" t="s">
        <v>160</v>
      </c>
      <c r="C368" t="s">
        <v>42</v>
      </c>
      <c r="D368" t="s">
        <v>18</v>
      </c>
      <c r="E368" t="s">
        <v>50</v>
      </c>
      <c r="F368" t="s">
        <v>51</v>
      </c>
      <c r="G368">
        <v>1</v>
      </c>
      <c r="H368">
        <v>2000</v>
      </c>
      <c r="I368">
        <v>2000</v>
      </c>
      <c r="J368" t="s">
        <v>34</v>
      </c>
    </row>
    <row r="369" spans="1:10">
      <c r="A369">
        <v>1191</v>
      </c>
      <c r="B369" t="s">
        <v>188</v>
      </c>
      <c r="C369" t="s">
        <v>25</v>
      </c>
      <c r="D369" t="s">
        <v>23</v>
      </c>
      <c r="E369" t="s">
        <v>50</v>
      </c>
      <c r="F369" t="s">
        <v>51</v>
      </c>
      <c r="G369">
        <v>1</v>
      </c>
      <c r="H369">
        <v>2000</v>
      </c>
      <c r="I369">
        <v>2000</v>
      </c>
      <c r="J369" t="s">
        <v>20</v>
      </c>
    </row>
    <row r="370" spans="1:10">
      <c r="A370">
        <v>1208</v>
      </c>
      <c r="B370" t="s">
        <v>201</v>
      </c>
      <c r="C370" t="s">
        <v>25</v>
      </c>
      <c r="D370" t="s">
        <v>13</v>
      </c>
      <c r="E370" t="s">
        <v>50</v>
      </c>
      <c r="F370" t="s">
        <v>51</v>
      </c>
      <c r="G370">
        <v>1</v>
      </c>
      <c r="H370">
        <v>2000</v>
      </c>
      <c r="I370">
        <v>2000</v>
      </c>
      <c r="J370" t="s">
        <v>38</v>
      </c>
    </row>
    <row r="371" spans="1:10">
      <c r="A371">
        <v>1225</v>
      </c>
      <c r="B371" t="s">
        <v>78</v>
      </c>
      <c r="C371" t="s">
        <v>12</v>
      </c>
      <c r="D371" t="s">
        <v>13</v>
      </c>
      <c r="E371" t="s">
        <v>50</v>
      </c>
      <c r="F371" t="s">
        <v>51</v>
      </c>
      <c r="G371">
        <v>1</v>
      </c>
      <c r="H371">
        <v>2000</v>
      </c>
      <c r="I371">
        <v>2000</v>
      </c>
      <c r="J371" t="s">
        <v>34</v>
      </c>
    </row>
    <row r="372" spans="1:10">
      <c r="A372">
        <v>1247</v>
      </c>
      <c r="B372" t="s">
        <v>219</v>
      </c>
      <c r="C372" t="s">
        <v>54</v>
      </c>
      <c r="D372" t="s">
        <v>30</v>
      </c>
      <c r="E372" t="s">
        <v>50</v>
      </c>
      <c r="F372" t="s">
        <v>51</v>
      </c>
      <c r="G372">
        <v>1</v>
      </c>
      <c r="H372">
        <v>2000</v>
      </c>
      <c r="I372">
        <v>2000</v>
      </c>
      <c r="J372" t="s">
        <v>16</v>
      </c>
    </row>
    <row r="373" spans="1:10">
      <c r="A373">
        <v>1299</v>
      </c>
      <c r="B373" t="s">
        <v>113</v>
      </c>
      <c r="C373" t="s">
        <v>71</v>
      </c>
      <c r="D373" t="s">
        <v>30</v>
      </c>
      <c r="E373" t="s">
        <v>50</v>
      </c>
      <c r="F373" t="s">
        <v>51</v>
      </c>
      <c r="G373">
        <v>1</v>
      </c>
      <c r="H373">
        <v>2000</v>
      </c>
      <c r="I373">
        <v>2000</v>
      </c>
      <c r="J373" t="s">
        <v>20</v>
      </c>
    </row>
    <row r="374" spans="1:10">
      <c r="A374">
        <v>1362</v>
      </c>
      <c r="B374" t="s">
        <v>104</v>
      </c>
      <c r="C374" t="s">
        <v>54</v>
      </c>
      <c r="D374" t="s">
        <v>23</v>
      </c>
      <c r="E374" t="s">
        <v>50</v>
      </c>
      <c r="F374" t="s">
        <v>51</v>
      </c>
      <c r="G374">
        <v>1</v>
      </c>
      <c r="H374">
        <v>2000</v>
      </c>
      <c r="I374">
        <v>2000</v>
      </c>
      <c r="J374" t="s">
        <v>34</v>
      </c>
    </row>
    <row r="375" spans="1:10">
      <c r="A375">
        <v>1389</v>
      </c>
      <c r="B375" t="s">
        <v>49</v>
      </c>
      <c r="C375" t="s">
        <v>47</v>
      </c>
      <c r="D375" t="s">
        <v>30</v>
      </c>
      <c r="E375" t="s">
        <v>50</v>
      </c>
      <c r="F375" t="s">
        <v>51</v>
      </c>
      <c r="G375">
        <v>1</v>
      </c>
      <c r="H375">
        <v>2000</v>
      </c>
      <c r="I375">
        <v>2000</v>
      </c>
      <c r="J375" t="s">
        <v>38</v>
      </c>
    </row>
    <row r="376" spans="1:10">
      <c r="A376">
        <v>1412</v>
      </c>
      <c r="B376" t="s">
        <v>127</v>
      </c>
      <c r="C376" t="s">
        <v>25</v>
      </c>
      <c r="D376" t="s">
        <v>13</v>
      </c>
      <c r="E376" t="s">
        <v>50</v>
      </c>
      <c r="F376" t="s">
        <v>51</v>
      </c>
      <c r="G376">
        <v>1</v>
      </c>
      <c r="H376">
        <v>2000</v>
      </c>
      <c r="I376">
        <v>2000</v>
      </c>
      <c r="J376" t="s">
        <v>38</v>
      </c>
    </row>
    <row r="377" spans="1:10">
      <c r="A377">
        <v>1011</v>
      </c>
      <c r="B377" t="s">
        <v>41</v>
      </c>
      <c r="C377" t="s">
        <v>42</v>
      </c>
      <c r="D377" t="s">
        <v>13</v>
      </c>
      <c r="E377" t="s">
        <v>43</v>
      </c>
      <c r="F377" t="s">
        <v>44</v>
      </c>
      <c r="G377">
        <v>5</v>
      </c>
      <c r="H377">
        <v>150</v>
      </c>
      <c r="I377">
        <v>750</v>
      </c>
      <c r="J377" t="s">
        <v>16</v>
      </c>
    </row>
    <row r="378" spans="1:10">
      <c r="A378">
        <v>1048</v>
      </c>
      <c r="B378" t="s">
        <v>86</v>
      </c>
      <c r="C378" t="s">
        <v>22</v>
      </c>
      <c r="D378" t="s">
        <v>23</v>
      </c>
      <c r="E378" t="s">
        <v>43</v>
      </c>
      <c r="F378" t="s">
        <v>44</v>
      </c>
      <c r="G378">
        <v>5</v>
      </c>
      <c r="H378">
        <v>150</v>
      </c>
      <c r="I378">
        <v>750</v>
      </c>
      <c r="J378" t="s">
        <v>20</v>
      </c>
    </row>
    <row r="379" spans="1:10">
      <c r="A379">
        <v>1067</v>
      </c>
      <c r="B379" t="s">
        <v>101</v>
      </c>
      <c r="C379" t="s">
        <v>71</v>
      </c>
      <c r="D379" t="s">
        <v>13</v>
      </c>
      <c r="E379" t="s">
        <v>43</v>
      </c>
      <c r="F379" t="s">
        <v>44</v>
      </c>
      <c r="G379">
        <v>5</v>
      </c>
      <c r="H379">
        <v>150</v>
      </c>
      <c r="I379">
        <v>750</v>
      </c>
      <c r="J379" t="s">
        <v>34</v>
      </c>
    </row>
    <row r="380" spans="1:10">
      <c r="A380">
        <v>1083</v>
      </c>
      <c r="B380" t="s">
        <v>114</v>
      </c>
      <c r="C380" t="s">
        <v>42</v>
      </c>
      <c r="D380" t="s">
        <v>18</v>
      </c>
      <c r="E380" t="s">
        <v>43</v>
      </c>
      <c r="F380" t="s">
        <v>44</v>
      </c>
      <c r="G380">
        <v>5</v>
      </c>
      <c r="H380">
        <v>150</v>
      </c>
      <c r="I380">
        <v>750</v>
      </c>
      <c r="J380" t="s">
        <v>38</v>
      </c>
    </row>
    <row r="381" spans="1:10">
      <c r="A381">
        <v>1097</v>
      </c>
      <c r="B381" t="s">
        <v>80</v>
      </c>
      <c r="C381" t="s">
        <v>22</v>
      </c>
      <c r="D381" t="s">
        <v>30</v>
      </c>
      <c r="E381" t="s">
        <v>43</v>
      </c>
      <c r="F381" t="s">
        <v>44</v>
      </c>
      <c r="G381">
        <v>5</v>
      </c>
      <c r="H381">
        <v>150</v>
      </c>
      <c r="I381">
        <v>750</v>
      </c>
      <c r="J381" t="s">
        <v>16</v>
      </c>
    </row>
    <row r="382" spans="1:10">
      <c r="A382">
        <v>1105</v>
      </c>
      <c r="B382" t="s">
        <v>131</v>
      </c>
      <c r="C382" t="s">
        <v>71</v>
      </c>
      <c r="D382" t="s">
        <v>13</v>
      </c>
      <c r="E382" t="s">
        <v>43</v>
      </c>
      <c r="F382" t="s">
        <v>44</v>
      </c>
      <c r="G382">
        <v>5</v>
      </c>
      <c r="H382">
        <v>150</v>
      </c>
      <c r="I382">
        <v>750</v>
      </c>
      <c r="J382" t="s">
        <v>20</v>
      </c>
    </row>
    <row r="383" spans="1:10">
      <c r="A383">
        <v>1232</v>
      </c>
      <c r="B383" t="s">
        <v>58</v>
      </c>
      <c r="C383" t="s">
        <v>22</v>
      </c>
      <c r="D383" t="s">
        <v>18</v>
      </c>
      <c r="E383" t="s">
        <v>43</v>
      </c>
      <c r="F383" t="s">
        <v>44</v>
      </c>
      <c r="G383">
        <v>5</v>
      </c>
      <c r="H383">
        <v>150</v>
      </c>
      <c r="I383">
        <v>750</v>
      </c>
      <c r="J383" t="s">
        <v>34</v>
      </c>
    </row>
    <row r="384" spans="1:10">
      <c r="A384">
        <v>1333</v>
      </c>
      <c r="B384" t="s">
        <v>144</v>
      </c>
      <c r="C384" t="s">
        <v>32</v>
      </c>
      <c r="D384" t="s">
        <v>23</v>
      </c>
      <c r="E384" t="s">
        <v>43</v>
      </c>
      <c r="F384" t="s">
        <v>44</v>
      </c>
      <c r="G384">
        <v>5</v>
      </c>
      <c r="H384">
        <v>150</v>
      </c>
      <c r="I384">
        <v>750</v>
      </c>
      <c r="J384" t="s">
        <v>34</v>
      </c>
    </row>
    <row r="385" spans="1:10">
      <c r="A385">
        <v>1341</v>
      </c>
      <c r="B385" t="s">
        <v>254</v>
      </c>
      <c r="C385" t="s">
        <v>12</v>
      </c>
      <c r="D385" t="s">
        <v>13</v>
      </c>
      <c r="E385" t="s">
        <v>43</v>
      </c>
      <c r="F385" t="s">
        <v>44</v>
      </c>
      <c r="G385">
        <v>5</v>
      </c>
      <c r="H385">
        <v>150</v>
      </c>
      <c r="I385">
        <v>750</v>
      </c>
      <c r="J385" t="s">
        <v>16</v>
      </c>
    </row>
    <row r="386" spans="1:10">
      <c r="A386">
        <v>1363</v>
      </c>
      <c r="B386" t="s">
        <v>263</v>
      </c>
      <c r="C386" t="s">
        <v>60</v>
      </c>
      <c r="D386" t="s">
        <v>23</v>
      </c>
      <c r="E386" t="s">
        <v>43</v>
      </c>
      <c r="F386" t="s">
        <v>44</v>
      </c>
      <c r="G386">
        <v>5</v>
      </c>
      <c r="H386">
        <v>150</v>
      </c>
      <c r="I386">
        <v>750</v>
      </c>
      <c r="J386" t="s">
        <v>38</v>
      </c>
    </row>
    <row r="387" spans="1:10">
      <c r="A387">
        <v>1494</v>
      </c>
      <c r="B387" t="s">
        <v>160</v>
      </c>
      <c r="C387" t="s">
        <v>54</v>
      </c>
      <c r="D387" t="s">
        <v>23</v>
      </c>
      <c r="E387" t="s">
        <v>43</v>
      </c>
      <c r="F387" t="s">
        <v>44</v>
      </c>
      <c r="G387">
        <v>5</v>
      </c>
      <c r="H387">
        <v>150</v>
      </c>
      <c r="I387">
        <v>750</v>
      </c>
      <c r="J387" t="s">
        <v>34</v>
      </c>
    </row>
    <row r="388" spans="1:10">
      <c r="A388">
        <v>1500</v>
      </c>
      <c r="B388" t="s">
        <v>308</v>
      </c>
      <c r="C388" t="s">
        <v>22</v>
      </c>
      <c r="D388" t="s">
        <v>13</v>
      </c>
      <c r="E388" t="s">
        <v>43</v>
      </c>
      <c r="F388" t="s">
        <v>44</v>
      </c>
      <c r="G388">
        <v>5</v>
      </c>
      <c r="H388">
        <v>150</v>
      </c>
      <c r="I388">
        <v>750</v>
      </c>
      <c r="J388" t="s">
        <v>38</v>
      </c>
    </row>
    <row r="389" spans="1:10">
      <c r="A389">
        <v>1038</v>
      </c>
      <c r="B389" t="s">
        <v>77</v>
      </c>
      <c r="C389" t="s">
        <v>22</v>
      </c>
      <c r="D389" t="s">
        <v>13</v>
      </c>
      <c r="E389" t="s">
        <v>43</v>
      </c>
      <c r="F389" t="s">
        <v>44</v>
      </c>
      <c r="G389">
        <v>4</v>
      </c>
      <c r="H389">
        <v>150</v>
      </c>
      <c r="I389">
        <v>600</v>
      </c>
      <c r="J389" t="s">
        <v>16</v>
      </c>
    </row>
    <row r="390" spans="1:10">
      <c r="A390">
        <v>1053</v>
      </c>
      <c r="B390" t="s">
        <v>76</v>
      </c>
      <c r="C390" t="s">
        <v>47</v>
      </c>
      <c r="D390" t="s">
        <v>13</v>
      </c>
      <c r="E390" t="s">
        <v>43</v>
      </c>
      <c r="F390" t="s">
        <v>44</v>
      </c>
      <c r="G390">
        <v>4</v>
      </c>
      <c r="H390">
        <v>150</v>
      </c>
      <c r="I390">
        <v>600</v>
      </c>
      <c r="J390" t="s">
        <v>16</v>
      </c>
    </row>
    <row r="391" spans="1:10">
      <c r="A391">
        <v>1063</v>
      </c>
      <c r="B391" t="s">
        <v>97</v>
      </c>
      <c r="C391" t="s">
        <v>71</v>
      </c>
      <c r="D391" t="s">
        <v>18</v>
      </c>
      <c r="E391" t="s">
        <v>43</v>
      </c>
      <c r="F391" t="s">
        <v>44</v>
      </c>
      <c r="G391">
        <v>4</v>
      </c>
      <c r="H391">
        <v>150</v>
      </c>
      <c r="I391">
        <v>600</v>
      </c>
      <c r="J391" t="s">
        <v>20</v>
      </c>
    </row>
    <row r="392" spans="1:10">
      <c r="A392">
        <v>1112</v>
      </c>
      <c r="B392" t="s">
        <v>130</v>
      </c>
      <c r="C392" t="s">
        <v>60</v>
      </c>
      <c r="D392" t="s">
        <v>18</v>
      </c>
      <c r="E392" t="s">
        <v>43</v>
      </c>
      <c r="F392" t="s">
        <v>44</v>
      </c>
      <c r="G392">
        <v>4</v>
      </c>
      <c r="H392">
        <v>150</v>
      </c>
      <c r="I392">
        <v>600</v>
      </c>
      <c r="J392" t="s">
        <v>38</v>
      </c>
    </row>
    <row r="393" spans="1:10">
      <c r="A393">
        <v>1143</v>
      </c>
      <c r="B393" t="s">
        <v>157</v>
      </c>
      <c r="C393" t="s">
        <v>47</v>
      </c>
      <c r="D393" t="s">
        <v>23</v>
      </c>
      <c r="E393" t="s">
        <v>43</v>
      </c>
      <c r="F393" t="s">
        <v>44</v>
      </c>
      <c r="G393">
        <v>4</v>
      </c>
      <c r="H393">
        <v>150</v>
      </c>
      <c r="I393">
        <v>600</v>
      </c>
      <c r="J393" t="s">
        <v>20</v>
      </c>
    </row>
    <row r="394" spans="1:10">
      <c r="A394">
        <v>1171</v>
      </c>
      <c r="B394" t="s">
        <v>176</v>
      </c>
      <c r="C394" t="s">
        <v>60</v>
      </c>
      <c r="D394" t="s">
        <v>18</v>
      </c>
      <c r="E394" t="s">
        <v>43</v>
      </c>
      <c r="F394" t="s">
        <v>44</v>
      </c>
      <c r="G394">
        <v>4</v>
      </c>
      <c r="H394">
        <v>150</v>
      </c>
      <c r="I394">
        <v>600</v>
      </c>
      <c r="J394" t="s">
        <v>16</v>
      </c>
    </row>
    <row r="395" spans="1:10">
      <c r="A395">
        <v>1212</v>
      </c>
      <c r="B395" t="s">
        <v>59</v>
      </c>
      <c r="C395" t="s">
        <v>54</v>
      </c>
      <c r="D395" t="s">
        <v>23</v>
      </c>
      <c r="E395" t="s">
        <v>43</v>
      </c>
      <c r="F395" t="s">
        <v>44</v>
      </c>
      <c r="G395">
        <v>4</v>
      </c>
      <c r="H395">
        <v>150</v>
      </c>
      <c r="I395">
        <v>600</v>
      </c>
      <c r="J395" t="s">
        <v>34</v>
      </c>
    </row>
    <row r="396" spans="1:10">
      <c r="A396">
        <v>1239</v>
      </c>
      <c r="B396" t="s">
        <v>215</v>
      </c>
      <c r="C396" t="s">
        <v>32</v>
      </c>
      <c r="D396" t="s">
        <v>13</v>
      </c>
      <c r="E396" t="s">
        <v>43</v>
      </c>
      <c r="F396" t="s">
        <v>44</v>
      </c>
      <c r="G396">
        <v>4</v>
      </c>
      <c r="H396">
        <v>150</v>
      </c>
      <c r="I396">
        <v>600</v>
      </c>
      <c r="J396" t="s">
        <v>16</v>
      </c>
    </row>
    <row r="397" spans="1:10">
      <c r="A397">
        <v>1304</v>
      </c>
      <c r="B397" t="s">
        <v>90</v>
      </c>
      <c r="C397" t="s">
        <v>54</v>
      </c>
      <c r="D397" t="s">
        <v>23</v>
      </c>
      <c r="E397" t="s">
        <v>43</v>
      </c>
      <c r="F397" t="s">
        <v>44</v>
      </c>
      <c r="G397">
        <v>4</v>
      </c>
      <c r="H397">
        <v>150</v>
      </c>
      <c r="I397">
        <v>600</v>
      </c>
      <c r="J397" t="s">
        <v>34</v>
      </c>
    </row>
    <row r="398" spans="1:10">
      <c r="A398">
        <v>1458</v>
      </c>
      <c r="B398" t="s">
        <v>297</v>
      </c>
      <c r="C398" t="s">
        <v>32</v>
      </c>
      <c r="D398" t="s">
        <v>13</v>
      </c>
      <c r="E398" t="s">
        <v>43</v>
      </c>
      <c r="F398" t="s">
        <v>44</v>
      </c>
      <c r="G398">
        <v>4</v>
      </c>
      <c r="H398">
        <v>150</v>
      </c>
      <c r="I398">
        <v>600</v>
      </c>
      <c r="J398" t="s">
        <v>34</v>
      </c>
    </row>
    <row r="399" spans="1:10">
      <c r="A399">
        <v>1481</v>
      </c>
      <c r="B399" t="s">
        <v>169</v>
      </c>
      <c r="C399" t="s">
        <v>71</v>
      </c>
      <c r="D399" t="s">
        <v>13</v>
      </c>
      <c r="E399" t="s">
        <v>43</v>
      </c>
      <c r="F399" t="s">
        <v>44</v>
      </c>
      <c r="G399">
        <v>4</v>
      </c>
      <c r="H399">
        <v>150</v>
      </c>
      <c r="I399">
        <v>600</v>
      </c>
      <c r="J399" t="s">
        <v>34</v>
      </c>
    </row>
    <row r="400" spans="1:10">
      <c r="A400">
        <v>1035</v>
      </c>
      <c r="B400" t="s">
        <v>74</v>
      </c>
      <c r="C400" t="s">
        <v>22</v>
      </c>
      <c r="D400" t="s">
        <v>23</v>
      </c>
      <c r="E400" t="s">
        <v>43</v>
      </c>
      <c r="F400" t="s">
        <v>44</v>
      </c>
      <c r="G400">
        <v>3</v>
      </c>
      <c r="H400">
        <v>150</v>
      </c>
      <c r="I400">
        <v>450</v>
      </c>
      <c r="J400" t="s">
        <v>34</v>
      </c>
    </row>
    <row r="401" spans="1:10">
      <c r="A401">
        <v>1129</v>
      </c>
      <c r="B401" t="s">
        <v>142</v>
      </c>
      <c r="C401" t="s">
        <v>47</v>
      </c>
      <c r="D401" t="s">
        <v>30</v>
      </c>
      <c r="E401" t="s">
        <v>43</v>
      </c>
      <c r="F401" t="s">
        <v>44</v>
      </c>
      <c r="G401">
        <v>3</v>
      </c>
      <c r="H401">
        <v>150</v>
      </c>
      <c r="I401">
        <v>450</v>
      </c>
      <c r="J401" t="s">
        <v>34</v>
      </c>
    </row>
    <row r="402" spans="1:10">
      <c r="A402">
        <v>1147</v>
      </c>
      <c r="B402" t="s">
        <v>159</v>
      </c>
      <c r="C402" t="s">
        <v>71</v>
      </c>
      <c r="D402" t="s">
        <v>23</v>
      </c>
      <c r="E402" t="s">
        <v>43</v>
      </c>
      <c r="F402" t="s">
        <v>44</v>
      </c>
      <c r="G402">
        <v>3</v>
      </c>
      <c r="H402">
        <v>150</v>
      </c>
      <c r="I402">
        <v>450</v>
      </c>
      <c r="J402" t="s">
        <v>38</v>
      </c>
    </row>
    <row r="403" spans="1:10">
      <c r="A403">
        <v>1175</v>
      </c>
      <c r="B403" t="s">
        <v>178</v>
      </c>
      <c r="C403" t="s">
        <v>25</v>
      </c>
      <c r="D403" t="s">
        <v>30</v>
      </c>
      <c r="E403" t="s">
        <v>43</v>
      </c>
      <c r="F403" t="s">
        <v>44</v>
      </c>
      <c r="G403">
        <v>3</v>
      </c>
      <c r="H403">
        <v>150</v>
      </c>
      <c r="I403">
        <v>450</v>
      </c>
      <c r="J403" t="s">
        <v>34</v>
      </c>
    </row>
    <row r="404" spans="1:10">
      <c r="A404">
        <v>1254</v>
      </c>
      <c r="B404" t="s">
        <v>136</v>
      </c>
      <c r="C404" t="s">
        <v>29</v>
      </c>
      <c r="D404" t="s">
        <v>18</v>
      </c>
      <c r="E404" t="s">
        <v>43</v>
      </c>
      <c r="F404" t="s">
        <v>44</v>
      </c>
      <c r="G404">
        <v>3</v>
      </c>
      <c r="H404">
        <v>150</v>
      </c>
      <c r="I404">
        <v>450</v>
      </c>
      <c r="J404" t="s">
        <v>16</v>
      </c>
    </row>
    <row r="405" spans="1:10">
      <c r="A405">
        <v>1373</v>
      </c>
      <c r="B405" t="s">
        <v>264</v>
      </c>
      <c r="C405" t="s">
        <v>25</v>
      </c>
      <c r="D405" t="s">
        <v>13</v>
      </c>
      <c r="E405" t="s">
        <v>43</v>
      </c>
      <c r="F405" t="s">
        <v>44</v>
      </c>
      <c r="G405">
        <v>3</v>
      </c>
      <c r="H405">
        <v>150</v>
      </c>
      <c r="I405">
        <v>450</v>
      </c>
      <c r="J405" t="s">
        <v>34</v>
      </c>
    </row>
    <row r="406" spans="1:10">
      <c r="A406">
        <v>1396</v>
      </c>
      <c r="B406" t="s">
        <v>75</v>
      </c>
      <c r="C406" t="s">
        <v>29</v>
      </c>
      <c r="D406" t="s">
        <v>13</v>
      </c>
      <c r="E406" t="s">
        <v>43</v>
      </c>
      <c r="F406" t="s">
        <v>44</v>
      </c>
      <c r="G406">
        <v>3</v>
      </c>
      <c r="H406">
        <v>150</v>
      </c>
      <c r="I406">
        <v>450</v>
      </c>
      <c r="J406" t="s">
        <v>16</v>
      </c>
    </row>
    <row r="407" spans="1:10">
      <c r="A407">
        <v>1433</v>
      </c>
      <c r="B407" t="s">
        <v>288</v>
      </c>
      <c r="C407" t="s">
        <v>29</v>
      </c>
      <c r="D407" t="s">
        <v>23</v>
      </c>
      <c r="E407" t="s">
        <v>43</v>
      </c>
      <c r="F407" t="s">
        <v>44</v>
      </c>
      <c r="G407">
        <v>3</v>
      </c>
      <c r="H407">
        <v>150</v>
      </c>
      <c r="I407">
        <v>450</v>
      </c>
      <c r="J407" t="s">
        <v>20</v>
      </c>
    </row>
    <row r="408" spans="1:10">
      <c r="A408">
        <v>1459</v>
      </c>
      <c r="B408" t="s">
        <v>255</v>
      </c>
      <c r="C408" t="s">
        <v>12</v>
      </c>
      <c r="D408" t="s">
        <v>18</v>
      </c>
      <c r="E408" t="s">
        <v>43</v>
      </c>
      <c r="F408" t="s">
        <v>44</v>
      </c>
      <c r="G408">
        <v>3</v>
      </c>
      <c r="H408">
        <v>150</v>
      </c>
      <c r="I408">
        <v>450</v>
      </c>
      <c r="J408" t="s">
        <v>20</v>
      </c>
    </row>
    <row r="409" spans="1:10">
      <c r="A409">
        <v>1465</v>
      </c>
      <c r="B409" t="s">
        <v>164</v>
      </c>
      <c r="C409" t="s">
        <v>42</v>
      </c>
      <c r="D409" t="s">
        <v>13</v>
      </c>
      <c r="E409" t="s">
        <v>43</v>
      </c>
      <c r="F409" t="s">
        <v>44</v>
      </c>
      <c r="G409">
        <v>3</v>
      </c>
      <c r="H409">
        <v>150</v>
      </c>
      <c r="I409">
        <v>450</v>
      </c>
      <c r="J409" t="s">
        <v>16</v>
      </c>
    </row>
    <row r="410" spans="1:10">
      <c r="A410">
        <v>1468</v>
      </c>
      <c r="B410" t="s">
        <v>300</v>
      </c>
      <c r="C410" t="s">
        <v>12</v>
      </c>
      <c r="D410" t="s">
        <v>23</v>
      </c>
      <c r="E410" t="s">
        <v>43</v>
      </c>
      <c r="F410" t="s">
        <v>44</v>
      </c>
      <c r="G410">
        <v>3</v>
      </c>
      <c r="H410">
        <v>150</v>
      </c>
      <c r="I410">
        <v>450</v>
      </c>
      <c r="J410" t="s">
        <v>38</v>
      </c>
    </row>
    <row r="411" spans="1:10">
      <c r="A411">
        <v>1200</v>
      </c>
      <c r="B411" t="s">
        <v>194</v>
      </c>
      <c r="C411" t="s">
        <v>22</v>
      </c>
      <c r="D411" t="s">
        <v>30</v>
      </c>
      <c r="E411" t="s">
        <v>43</v>
      </c>
      <c r="F411" t="s">
        <v>44</v>
      </c>
      <c r="G411">
        <v>2</v>
      </c>
      <c r="H411">
        <v>150</v>
      </c>
      <c r="I411">
        <v>300</v>
      </c>
      <c r="J411" t="s">
        <v>34</v>
      </c>
    </row>
    <row r="412" spans="1:10">
      <c r="A412">
        <v>1216</v>
      </c>
      <c r="B412" t="s">
        <v>130</v>
      </c>
      <c r="C412" t="s">
        <v>60</v>
      </c>
      <c r="D412" t="s">
        <v>30</v>
      </c>
      <c r="E412" t="s">
        <v>43</v>
      </c>
      <c r="F412" t="s">
        <v>44</v>
      </c>
      <c r="G412">
        <v>2</v>
      </c>
      <c r="H412">
        <v>150</v>
      </c>
      <c r="I412">
        <v>300</v>
      </c>
      <c r="J412" t="s">
        <v>16</v>
      </c>
    </row>
    <row r="413" spans="1:10">
      <c r="A413">
        <v>1233</v>
      </c>
      <c r="B413" t="s">
        <v>125</v>
      </c>
      <c r="C413" t="s">
        <v>42</v>
      </c>
      <c r="D413" t="s">
        <v>23</v>
      </c>
      <c r="E413" t="s">
        <v>43</v>
      </c>
      <c r="F413" t="s">
        <v>44</v>
      </c>
      <c r="G413">
        <v>2</v>
      </c>
      <c r="H413">
        <v>150</v>
      </c>
      <c r="I413">
        <v>300</v>
      </c>
      <c r="J413" t="s">
        <v>34</v>
      </c>
    </row>
    <row r="414" spans="1:10">
      <c r="A414">
        <v>1261</v>
      </c>
      <c r="B414" t="s">
        <v>226</v>
      </c>
      <c r="C414" t="s">
        <v>29</v>
      </c>
      <c r="D414" t="s">
        <v>18</v>
      </c>
      <c r="E414" t="s">
        <v>43</v>
      </c>
      <c r="F414" t="s">
        <v>44</v>
      </c>
      <c r="G414">
        <v>2</v>
      </c>
      <c r="H414">
        <v>150</v>
      </c>
      <c r="I414">
        <v>300</v>
      </c>
      <c r="J414" t="s">
        <v>20</v>
      </c>
    </row>
    <row r="415" spans="1:10">
      <c r="A415">
        <v>1262</v>
      </c>
      <c r="B415" t="s">
        <v>227</v>
      </c>
      <c r="C415" t="s">
        <v>12</v>
      </c>
      <c r="D415" t="s">
        <v>18</v>
      </c>
      <c r="E415" t="s">
        <v>43</v>
      </c>
      <c r="F415" t="s">
        <v>44</v>
      </c>
      <c r="G415">
        <v>2</v>
      </c>
      <c r="H415">
        <v>150</v>
      </c>
      <c r="I415">
        <v>300</v>
      </c>
      <c r="J415" t="s">
        <v>38</v>
      </c>
    </row>
    <row r="416" spans="1:10">
      <c r="A416">
        <v>1291</v>
      </c>
      <c r="B416" t="s">
        <v>80</v>
      </c>
      <c r="C416" t="s">
        <v>42</v>
      </c>
      <c r="D416" t="s">
        <v>18</v>
      </c>
      <c r="E416" t="s">
        <v>43</v>
      </c>
      <c r="F416" t="s">
        <v>44</v>
      </c>
      <c r="G416">
        <v>2</v>
      </c>
      <c r="H416">
        <v>150</v>
      </c>
      <c r="I416">
        <v>300</v>
      </c>
      <c r="J416" t="s">
        <v>16</v>
      </c>
    </row>
    <row r="417" spans="1:10">
      <c r="A417">
        <v>1388</v>
      </c>
      <c r="B417" t="s">
        <v>275</v>
      </c>
      <c r="C417" t="s">
        <v>29</v>
      </c>
      <c r="D417" t="s">
        <v>30</v>
      </c>
      <c r="E417" t="s">
        <v>43</v>
      </c>
      <c r="F417" t="s">
        <v>44</v>
      </c>
      <c r="G417">
        <v>2</v>
      </c>
      <c r="H417">
        <v>150</v>
      </c>
      <c r="I417">
        <v>300</v>
      </c>
      <c r="J417" t="s">
        <v>16</v>
      </c>
    </row>
    <row r="418" spans="1:10">
      <c r="A418">
        <v>1416</v>
      </c>
      <c r="B418" t="s">
        <v>211</v>
      </c>
      <c r="C418" t="s">
        <v>42</v>
      </c>
      <c r="D418" t="s">
        <v>23</v>
      </c>
      <c r="E418" t="s">
        <v>43</v>
      </c>
      <c r="F418" t="s">
        <v>44</v>
      </c>
      <c r="G418">
        <v>2</v>
      </c>
      <c r="H418">
        <v>150</v>
      </c>
      <c r="I418">
        <v>300</v>
      </c>
      <c r="J418" t="s">
        <v>34</v>
      </c>
    </row>
    <row r="419" spans="1:10">
      <c r="A419">
        <v>1471</v>
      </c>
      <c r="B419" t="s">
        <v>134</v>
      </c>
      <c r="C419" t="s">
        <v>60</v>
      </c>
      <c r="D419" t="s">
        <v>23</v>
      </c>
      <c r="E419" t="s">
        <v>43</v>
      </c>
      <c r="F419" t="s">
        <v>44</v>
      </c>
      <c r="G419">
        <v>2</v>
      </c>
      <c r="H419">
        <v>150</v>
      </c>
      <c r="I419">
        <v>300</v>
      </c>
      <c r="J419" t="s">
        <v>34</v>
      </c>
    </row>
    <row r="420" spans="1:10">
      <c r="A420">
        <v>1062</v>
      </c>
      <c r="B420" t="s">
        <v>96</v>
      </c>
      <c r="C420" t="s">
        <v>25</v>
      </c>
      <c r="D420" t="s">
        <v>30</v>
      </c>
      <c r="E420" t="s">
        <v>43</v>
      </c>
      <c r="F420" t="s">
        <v>44</v>
      </c>
      <c r="G420">
        <v>1</v>
      </c>
      <c r="H420">
        <v>150</v>
      </c>
      <c r="I420">
        <v>150</v>
      </c>
      <c r="J420" t="s">
        <v>20</v>
      </c>
    </row>
    <row r="421" spans="1:10">
      <c r="A421">
        <v>1151</v>
      </c>
      <c r="B421" t="s">
        <v>163</v>
      </c>
      <c r="C421" t="s">
        <v>22</v>
      </c>
      <c r="D421" t="s">
        <v>30</v>
      </c>
      <c r="E421" t="s">
        <v>43</v>
      </c>
      <c r="F421" t="s">
        <v>44</v>
      </c>
      <c r="G421">
        <v>1</v>
      </c>
      <c r="H421">
        <v>150</v>
      </c>
      <c r="I421">
        <v>150</v>
      </c>
      <c r="J421" t="s">
        <v>34</v>
      </c>
    </row>
    <row r="422" spans="1:10">
      <c r="A422">
        <v>1178</v>
      </c>
      <c r="B422" t="s">
        <v>181</v>
      </c>
      <c r="C422" t="s">
        <v>60</v>
      </c>
      <c r="D422" t="s">
        <v>13</v>
      </c>
      <c r="E422" t="s">
        <v>43</v>
      </c>
      <c r="F422" t="s">
        <v>44</v>
      </c>
      <c r="G422">
        <v>1</v>
      </c>
      <c r="H422">
        <v>150</v>
      </c>
      <c r="I422">
        <v>150</v>
      </c>
      <c r="J422" t="s">
        <v>34</v>
      </c>
    </row>
    <row r="423" spans="1:10">
      <c r="A423">
        <v>1242</v>
      </c>
      <c r="B423" t="s">
        <v>217</v>
      </c>
      <c r="C423" t="s">
        <v>54</v>
      </c>
      <c r="D423" t="s">
        <v>18</v>
      </c>
      <c r="E423" t="s">
        <v>43</v>
      </c>
      <c r="F423" t="s">
        <v>44</v>
      </c>
      <c r="G423">
        <v>1</v>
      </c>
      <c r="H423">
        <v>150</v>
      </c>
      <c r="I423">
        <v>150</v>
      </c>
      <c r="J423" t="s">
        <v>34</v>
      </c>
    </row>
    <row r="424" spans="1:10">
      <c r="A424">
        <v>1315</v>
      </c>
      <c r="B424" t="s">
        <v>188</v>
      </c>
      <c r="C424" t="s">
        <v>32</v>
      </c>
      <c r="D424" t="s">
        <v>23</v>
      </c>
      <c r="E424" t="s">
        <v>43</v>
      </c>
      <c r="F424" t="s">
        <v>44</v>
      </c>
      <c r="G424">
        <v>1</v>
      </c>
      <c r="H424">
        <v>150</v>
      </c>
      <c r="I424">
        <v>150</v>
      </c>
      <c r="J424" t="s">
        <v>20</v>
      </c>
    </row>
    <row r="425" spans="1:10">
      <c r="A425">
        <v>1327</v>
      </c>
      <c r="B425" t="s">
        <v>41</v>
      </c>
      <c r="C425" t="s">
        <v>71</v>
      </c>
      <c r="D425" t="s">
        <v>13</v>
      </c>
      <c r="E425" t="s">
        <v>43</v>
      </c>
      <c r="F425" t="s">
        <v>44</v>
      </c>
      <c r="G425">
        <v>1</v>
      </c>
      <c r="H425">
        <v>150</v>
      </c>
      <c r="I425">
        <v>150</v>
      </c>
      <c r="J425" t="s">
        <v>38</v>
      </c>
    </row>
    <row r="426" spans="1:10">
      <c r="A426">
        <v>1332</v>
      </c>
      <c r="B426" t="s">
        <v>251</v>
      </c>
      <c r="C426" t="s">
        <v>29</v>
      </c>
      <c r="D426" t="s">
        <v>18</v>
      </c>
      <c r="E426" t="s">
        <v>43</v>
      </c>
      <c r="F426" t="s">
        <v>44</v>
      </c>
      <c r="G426">
        <v>1</v>
      </c>
      <c r="H426">
        <v>150</v>
      </c>
      <c r="I426">
        <v>150</v>
      </c>
      <c r="J426" t="s">
        <v>16</v>
      </c>
    </row>
    <row r="427" spans="1:10">
      <c r="A427">
        <v>1351</v>
      </c>
      <c r="B427" t="s">
        <v>236</v>
      </c>
      <c r="C427" t="s">
        <v>25</v>
      </c>
      <c r="D427" t="s">
        <v>18</v>
      </c>
      <c r="E427" t="s">
        <v>43</v>
      </c>
      <c r="F427" t="s">
        <v>44</v>
      </c>
      <c r="G427">
        <v>1</v>
      </c>
      <c r="H427">
        <v>150</v>
      </c>
      <c r="I427">
        <v>150</v>
      </c>
      <c r="J427" t="s">
        <v>20</v>
      </c>
    </row>
    <row r="428" spans="1:10">
      <c r="A428">
        <v>1399</v>
      </c>
      <c r="B428" t="s">
        <v>84</v>
      </c>
      <c r="C428" t="s">
        <v>22</v>
      </c>
      <c r="D428" t="s">
        <v>23</v>
      </c>
      <c r="E428" t="s">
        <v>43</v>
      </c>
      <c r="F428" t="s">
        <v>44</v>
      </c>
      <c r="G428">
        <v>1</v>
      </c>
      <c r="H428">
        <v>150</v>
      </c>
      <c r="I428">
        <v>150</v>
      </c>
      <c r="J428" t="s">
        <v>38</v>
      </c>
    </row>
    <row r="429" spans="1:10">
      <c r="A429">
        <v>1474</v>
      </c>
      <c r="B429" t="s">
        <v>169</v>
      </c>
      <c r="C429" t="s">
        <v>25</v>
      </c>
      <c r="D429" t="s">
        <v>18</v>
      </c>
      <c r="E429" t="s">
        <v>43</v>
      </c>
      <c r="F429" t="s">
        <v>44</v>
      </c>
      <c r="G429">
        <v>1</v>
      </c>
      <c r="H429">
        <v>150</v>
      </c>
      <c r="I429">
        <v>150</v>
      </c>
      <c r="J429" t="s">
        <v>16</v>
      </c>
    </row>
    <row r="430" spans="1:10">
      <c r="A430">
        <v>1492</v>
      </c>
      <c r="B430" t="s">
        <v>255</v>
      </c>
      <c r="C430" t="s">
        <v>25</v>
      </c>
      <c r="D430" t="s">
        <v>13</v>
      </c>
      <c r="E430" t="s">
        <v>43</v>
      </c>
      <c r="F430" t="s">
        <v>44</v>
      </c>
      <c r="G430">
        <v>1</v>
      </c>
      <c r="H430">
        <v>150</v>
      </c>
      <c r="I430">
        <v>150</v>
      </c>
      <c r="J430" t="s">
        <v>16</v>
      </c>
    </row>
    <row r="431" spans="1:10">
      <c r="A431">
        <v>1026</v>
      </c>
      <c r="B431" t="s">
        <v>64</v>
      </c>
      <c r="C431" t="s">
        <v>29</v>
      </c>
      <c r="D431" t="s">
        <v>30</v>
      </c>
      <c r="E431" t="s">
        <v>57</v>
      </c>
      <c r="F431" t="s">
        <v>44</v>
      </c>
      <c r="G431">
        <v>5</v>
      </c>
      <c r="H431">
        <v>20</v>
      </c>
      <c r="I431">
        <v>100</v>
      </c>
      <c r="J431" t="s">
        <v>38</v>
      </c>
    </row>
    <row r="432" spans="1:10">
      <c r="A432">
        <v>1031</v>
      </c>
      <c r="B432" t="s">
        <v>69</v>
      </c>
      <c r="C432" t="s">
        <v>32</v>
      </c>
      <c r="D432" t="s">
        <v>23</v>
      </c>
      <c r="E432" t="s">
        <v>57</v>
      </c>
      <c r="F432" t="s">
        <v>44</v>
      </c>
      <c r="G432">
        <v>5</v>
      </c>
      <c r="H432">
        <v>20</v>
      </c>
      <c r="I432">
        <v>100</v>
      </c>
      <c r="J432" t="s">
        <v>20</v>
      </c>
    </row>
    <row r="433" spans="1:10">
      <c r="A433">
        <v>1161</v>
      </c>
      <c r="B433" t="s">
        <v>61</v>
      </c>
      <c r="C433" t="s">
        <v>22</v>
      </c>
      <c r="D433" t="s">
        <v>23</v>
      </c>
      <c r="E433" t="s">
        <v>57</v>
      </c>
      <c r="F433" t="s">
        <v>44</v>
      </c>
      <c r="G433">
        <v>5</v>
      </c>
      <c r="H433">
        <v>20</v>
      </c>
      <c r="I433">
        <v>100</v>
      </c>
      <c r="J433" t="s">
        <v>20</v>
      </c>
    </row>
    <row r="434" spans="1:10">
      <c r="A434">
        <v>1176</v>
      </c>
      <c r="B434" t="s">
        <v>179</v>
      </c>
      <c r="C434" t="s">
        <v>54</v>
      </c>
      <c r="D434" t="s">
        <v>30</v>
      </c>
      <c r="E434" t="s">
        <v>57</v>
      </c>
      <c r="F434" t="s">
        <v>44</v>
      </c>
      <c r="G434">
        <v>5</v>
      </c>
      <c r="H434">
        <v>20</v>
      </c>
      <c r="I434">
        <v>100</v>
      </c>
      <c r="J434" t="s">
        <v>38</v>
      </c>
    </row>
    <row r="435" spans="1:10">
      <c r="A435">
        <v>1199</v>
      </c>
      <c r="B435" t="s">
        <v>193</v>
      </c>
      <c r="C435" t="s">
        <v>42</v>
      </c>
      <c r="D435" t="s">
        <v>18</v>
      </c>
      <c r="E435" t="s">
        <v>57</v>
      </c>
      <c r="F435" t="s">
        <v>44</v>
      </c>
      <c r="G435">
        <v>5</v>
      </c>
      <c r="H435">
        <v>20</v>
      </c>
      <c r="I435">
        <v>100</v>
      </c>
      <c r="J435" t="s">
        <v>20</v>
      </c>
    </row>
    <row r="436" spans="1:10">
      <c r="A436">
        <v>1255</v>
      </c>
      <c r="B436" t="s">
        <v>74</v>
      </c>
      <c r="C436" t="s">
        <v>54</v>
      </c>
      <c r="D436" t="s">
        <v>13</v>
      </c>
      <c r="E436" t="s">
        <v>57</v>
      </c>
      <c r="F436" t="s">
        <v>44</v>
      </c>
      <c r="G436">
        <v>5</v>
      </c>
      <c r="H436">
        <v>20</v>
      </c>
      <c r="I436">
        <v>100</v>
      </c>
      <c r="J436" t="s">
        <v>34</v>
      </c>
    </row>
    <row r="437" spans="1:10">
      <c r="A437">
        <v>1258</v>
      </c>
      <c r="B437" t="s">
        <v>224</v>
      </c>
      <c r="C437" t="s">
        <v>32</v>
      </c>
      <c r="D437" t="s">
        <v>13</v>
      </c>
      <c r="E437" t="s">
        <v>57</v>
      </c>
      <c r="F437" t="s">
        <v>44</v>
      </c>
      <c r="G437">
        <v>5</v>
      </c>
      <c r="H437">
        <v>20</v>
      </c>
      <c r="I437">
        <v>100</v>
      </c>
      <c r="J437" t="s">
        <v>20</v>
      </c>
    </row>
    <row r="438" spans="1:10">
      <c r="A438">
        <v>1295</v>
      </c>
      <c r="B438" t="s">
        <v>170</v>
      </c>
      <c r="C438" t="s">
        <v>25</v>
      </c>
      <c r="D438" t="s">
        <v>23</v>
      </c>
      <c r="E438" t="s">
        <v>57</v>
      </c>
      <c r="F438" t="s">
        <v>44</v>
      </c>
      <c r="G438">
        <v>5</v>
      </c>
      <c r="H438">
        <v>20</v>
      </c>
      <c r="I438">
        <v>100</v>
      </c>
      <c r="J438" t="s">
        <v>34</v>
      </c>
    </row>
    <row r="439" spans="1:10">
      <c r="A439">
        <v>1323</v>
      </c>
      <c r="B439" t="s">
        <v>124</v>
      </c>
      <c r="C439" t="s">
        <v>29</v>
      </c>
      <c r="D439" t="s">
        <v>18</v>
      </c>
      <c r="E439" t="s">
        <v>57</v>
      </c>
      <c r="F439" t="s">
        <v>44</v>
      </c>
      <c r="G439">
        <v>5</v>
      </c>
      <c r="H439">
        <v>20</v>
      </c>
      <c r="I439">
        <v>100</v>
      </c>
      <c r="J439" t="s">
        <v>38</v>
      </c>
    </row>
    <row r="440" spans="1:10">
      <c r="A440">
        <v>1339</v>
      </c>
      <c r="B440" t="s">
        <v>253</v>
      </c>
      <c r="C440" t="s">
        <v>22</v>
      </c>
      <c r="D440" t="s">
        <v>23</v>
      </c>
      <c r="E440" t="s">
        <v>57</v>
      </c>
      <c r="F440" t="s">
        <v>44</v>
      </c>
      <c r="G440">
        <v>5</v>
      </c>
      <c r="H440">
        <v>20</v>
      </c>
      <c r="I440">
        <v>100</v>
      </c>
      <c r="J440" t="s">
        <v>38</v>
      </c>
    </row>
    <row r="441" spans="1:10">
      <c r="A441">
        <v>1429</v>
      </c>
      <c r="B441" t="s">
        <v>56</v>
      </c>
      <c r="C441" t="s">
        <v>25</v>
      </c>
      <c r="D441" t="s">
        <v>18</v>
      </c>
      <c r="E441" t="s">
        <v>57</v>
      </c>
      <c r="F441" t="s">
        <v>44</v>
      </c>
      <c r="G441">
        <v>5</v>
      </c>
      <c r="H441">
        <v>20</v>
      </c>
      <c r="I441">
        <v>100</v>
      </c>
      <c r="J441" t="s">
        <v>38</v>
      </c>
    </row>
    <row r="442" spans="1:10">
      <c r="A442">
        <v>1434</v>
      </c>
      <c r="B442" t="s">
        <v>289</v>
      </c>
      <c r="C442" t="s">
        <v>25</v>
      </c>
      <c r="D442" t="s">
        <v>23</v>
      </c>
      <c r="E442" t="s">
        <v>57</v>
      </c>
      <c r="F442" t="s">
        <v>44</v>
      </c>
      <c r="G442">
        <v>5</v>
      </c>
      <c r="H442">
        <v>20</v>
      </c>
      <c r="I442">
        <v>100</v>
      </c>
      <c r="J442" t="s">
        <v>34</v>
      </c>
    </row>
    <row r="443" spans="1:10">
      <c r="A443">
        <v>1487</v>
      </c>
      <c r="B443" t="s">
        <v>48</v>
      </c>
      <c r="C443" t="s">
        <v>71</v>
      </c>
      <c r="D443" t="s">
        <v>23</v>
      </c>
      <c r="E443" t="s">
        <v>57</v>
      </c>
      <c r="F443" t="s">
        <v>44</v>
      </c>
      <c r="G443">
        <v>5</v>
      </c>
      <c r="H443">
        <v>20</v>
      </c>
      <c r="I443">
        <v>100</v>
      </c>
      <c r="J443" t="s">
        <v>20</v>
      </c>
    </row>
    <row r="444" spans="1:10">
      <c r="A444">
        <v>1020</v>
      </c>
      <c r="B444" t="s">
        <v>56</v>
      </c>
      <c r="C444" t="s">
        <v>22</v>
      </c>
      <c r="D444" t="s">
        <v>18</v>
      </c>
      <c r="E444" t="s">
        <v>57</v>
      </c>
      <c r="F444" t="s">
        <v>44</v>
      </c>
      <c r="G444">
        <v>4</v>
      </c>
      <c r="H444">
        <v>20</v>
      </c>
      <c r="I444">
        <v>80</v>
      </c>
      <c r="J444" t="s">
        <v>34</v>
      </c>
    </row>
    <row r="445" spans="1:10">
      <c r="A445">
        <v>1037</v>
      </c>
      <c r="B445" t="s">
        <v>76</v>
      </c>
      <c r="C445" t="s">
        <v>32</v>
      </c>
      <c r="D445" t="s">
        <v>13</v>
      </c>
      <c r="E445" t="s">
        <v>57</v>
      </c>
      <c r="F445" t="s">
        <v>44</v>
      </c>
      <c r="G445">
        <v>4</v>
      </c>
      <c r="H445">
        <v>20</v>
      </c>
      <c r="I445">
        <v>80</v>
      </c>
      <c r="J445" t="s">
        <v>38</v>
      </c>
    </row>
    <row r="446" spans="1:10">
      <c r="A446">
        <v>1045</v>
      </c>
      <c r="B446" t="s">
        <v>83</v>
      </c>
      <c r="C446" t="s">
        <v>12</v>
      </c>
      <c r="D446" t="s">
        <v>23</v>
      </c>
      <c r="E446" t="s">
        <v>57</v>
      </c>
      <c r="F446" t="s">
        <v>44</v>
      </c>
      <c r="G446">
        <v>4</v>
      </c>
      <c r="H446">
        <v>20</v>
      </c>
      <c r="I446">
        <v>80</v>
      </c>
      <c r="J446" t="s">
        <v>38</v>
      </c>
    </row>
    <row r="447" spans="1:10">
      <c r="A447">
        <v>1098</v>
      </c>
      <c r="B447" t="s">
        <v>126</v>
      </c>
      <c r="C447" t="s">
        <v>54</v>
      </c>
      <c r="D447" t="s">
        <v>18</v>
      </c>
      <c r="E447" t="s">
        <v>57</v>
      </c>
      <c r="F447" t="s">
        <v>44</v>
      </c>
      <c r="G447">
        <v>4</v>
      </c>
      <c r="H447">
        <v>20</v>
      </c>
      <c r="I447">
        <v>80</v>
      </c>
      <c r="J447" t="s">
        <v>16</v>
      </c>
    </row>
    <row r="448" spans="1:10">
      <c r="A448">
        <v>1114</v>
      </c>
      <c r="B448" t="s">
        <v>139</v>
      </c>
      <c r="C448" t="s">
        <v>60</v>
      </c>
      <c r="D448" t="s">
        <v>13</v>
      </c>
      <c r="E448" t="s">
        <v>57</v>
      </c>
      <c r="F448" t="s">
        <v>44</v>
      </c>
      <c r="G448">
        <v>4</v>
      </c>
      <c r="H448">
        <v>20</v>
      </c>
      <c r="I448">
        <v>80</v>
      </c>
      <c r="J448" t="s">
        <v>38</v>
      </c>
    </row>
    <row r="449" spans="1:10">
      <c r="A449">
        <v>1118</v>
      </c>
      <c r="B449" t="s">
        <v>136</v>
      </c>
      <c r="C449" t="s">
        <v>71</v>
      </c>
      <c r="D449" t="s">
        <v>30</v>
      </c>
      <c r="E449" t="s">
        <v>57</v>
      </c>
      <c r="F449" t="s">
        <v>44</v>
      </c>
      <c r="G449">
        <v>4</v>
      </c>
      <c r="H449">
        <v>20</v>
      </c>
      <c r="I449">
        <v>80</v>
      </c>
      <c r="J449" t="s">
        <v>38</v>
      </c>
    </row>
    <row r="450" spans="1:10">
      <c r="A450">
        <v>1179</v>
      </c>
      <c r="B450" t="s">
        <v>182</v>
      </c>
      <c r="C450" t="s">
        <v>22</v>
      </c>
      <c r="D450" t="s">
        <v>13</v>
      </c>
      <c r="E450" t="s">
        <v>57</v>
      </c>
      <c r="F450" t="s">
        <v>44</v>
      </c>
      <c r="G450">
        <v>4</v>
      </c>
      <c r="H450">
        <v>20</v>
      </c>
      <c r="I450">
        <v>80</v>
      </c>
      <c r="J450" t="s">
        <v>16</v>
      </c>
    </row>
    <row r="451" spans="1:10">
      <c r="A451">
        <v>1182</v>
      </c>
      <c r="B451" t="s">
        <v>142</v>
      </c>
      <c r="C451" t="s">
        <v>54</v>
      </c>
      <c r="D451" t="s">
        <v>18</v>
      </c>
      <c r="E451" t="s">
        <v>57</v>
      </c>
      <c r="F451" t="s">
        <v>44</v>
      </c>
      <c r="G451">
        <v>4</v>
      </c>
      <c r="H451">
        <v>20</v>
      </c>
      <c r="I451">
        <v>80</v>
      </c>
      <c r="J451" t="s">
        <v>38</v>
      </c>
    </row>
    <row r="452" spans="1:10">
      <c r="A452">
        <v>1186</v>
      </c>
      <c r="B452" t="s">
        <v>46</v>
      </c>
      <c r="C452" t="s">
        <v>47</v>
      </c>
      <c r="D452" t="s">
        <v>18</v>
      </c>
      <c r="E452" t="s">
        <v>57</v>
      </c>
      <c r="F452" t="s">
        <v>44</v>
      </c>
      <c r="G452">
        <v>4</v>
      </c>
      <c r="H452">
        <v>20</v>
      </c>
      <c r="I452">
        <v>80</v>
      </c>
      <c r="J452" t="s">
        <v>38</v>
      </c>
    </row>
    <row r="453" spans="1:10">
      <c r="A453">
        <v>1361</v>
      </c>
      <c r="B453" t="s">
        <v>105</v>
      </c>
      <c r="C453" t="s">
        <v>12</v>
      </c>
      <c r="D453" t="s">
        <v>23</v>
      </c>
      <c r="E453" t="s">
        <v>57</v>
      </c>
      <c r="F453" t="s">
        <v>44</v>
      </c>
      <c r="G453">
        <v>4</v>
      </c>
      <c r="H453">
        <v>20</v>
      </c>
      <c r="I453">
        <v>80</v>
      </c>
      <c r="J453" t="s">
        <v>38</v>
      </c>
    </row>
    <row r="454" spans="1:10">
      <c r="A454">
        <v>1419</v>
      </c>
      <c r="B454" t="s">
        <v>183</v>
      </c>
      <c r="C454" t="s">
        <v>42</v>
      </c>
      <c r="D454" t="s">
        <v>30</v>
      </c>
      <c r="E454" t="s">
        <v>57</v>
      </c>
      <c r="F454" t="s">
        <v>44</v>
      </c>
      <c r="G454">
        <v>4</v>
      </c>
      <c r="H454">
        <v>20</v>
      </c>
      <c r="I454">
        <v>80</v>
      </c>
      <c r="J454" t="s">
        <v>34</v>
      </c>
    </row>
    <row r="455" spans="1:10">
      <c r="A455">
        <v>1438</v>
      </c>
      <c r="B455" t="s">
        <v>127</v>
      </c>
      <c r="C455" t="s">
        <v>22</v>
      </c>
      <c r="D455" t="s">
        <v>23</v>
      </c>
      <c r="E455" t="s">
        <v>57</v>
      </c>
      <c r="F455" t="s">
        <v>44</v>
      </c>
      <c r="G455">
        <v>4</v>
      </c>
      <c r="H455">
        <v>20</v>
      </c>
      <c r="I455">
        <v>80</v>
      </c>
      <c r="J455" t="s">
        <v>16</v>
      </c>
    </row>
    <row r="456" spans="1:10">
      <c r="A456">
        <v>1072</v>
      </c>
      <c r="B456" t="s">
        <v>106</v>
      </c>
      <c r="C456" t="s">
        <v>71</v>
      </c>
      <c r="D456" t="s">
        <v>13</v>
      </c>
      <c r="E456" t="s">
        <v>57</v>
      </c>
      <c r="F456" t="s">
        <v>44</v>
      </c>
      <c r="G456">
        <v>3</v>
      </c>
      <c r="H456">
        <v>20</v>
      </c>
      <c r="I456">
        <v>60</v>
      </c>
      <c r="J456" t="s">
        <v>38</v>
      </c>
    </row>
    <row r="457" spans="1:10">
      <c r="A457">
        <v>1074</v>
      </c>
      <c r="B457" t="s">
        <v>108</v>
      </c>
      <c r="C457" t="s">
        <v>12</v>
      </c>
      <c r="D457" t="s">
        <v>18</v>
      </c>
      <c r="E457" t="s">
        <v>57</v>
      </c>
      <c r="F457" t="s">
        <v>44</v>
      </c>
      <c r="G457">
        <v>3</v>
      </c>
      <c r="H457">
        <v>20</v>
      </c>
      <c r="I457">
        <v>60</v>
      </c>
      <c r="J457" t="s">
        <v>16</v>
      </c>
    </row>
    <row r="458" spans="1:10">
      <c r="A458">
        <v>1101</v>
      </c>
      <c r="B458" t="s">
        <v>128</v>
      </c>
      <c r="C458" t="s">
        <v>42</v>
      </c>
      <c r="D458" t="s">
        <v>23</v>
      </c>
      <c r="E458" t="s">
        <v>57</v>
      </c>
      <c r="F458" t="s">
        <v>44</v>
      </c>
      <c r="G458">
        <v>3</v>
      </c>
      <c r="H458">
        <v>20</v>
      </c>
      <c r="I458">
        <v>60</v>
      </c>
      <c r="J458" t="s">
        <v>16</v>
      </c>
    </row>
    <row r="459" spans="1:10">
      <c r="A459">
        <v>1115</v>
      </c>
      <c r="B459" t="s">
        <v>134</v>
      </c>
      <c r="C459" t="s">
        <v>25</v>
      </c>
      <c r="D459" t="s">
        <v>13</v>
      </c>
      <c r="E459" t="s">
        <v>57</v>
      </c>
      <c r="F459" t="s">
        <v>44</v>
      </c>
      <c r="G459">
        <v>3</v>
      </c>
      <c r="H459">
        <v>20</v>
      </c>
      <c r="I459">
        <v>60</v>
      </c>
      <c r="J459" t="s">
        <v>38</v>
      </c>
    </row>
    <row r="460" spans="1:10">
      <c r="A460">
        <v>1124</v>
      </c>
      <c r="B460" t="s">
        <v>144</v>
      </c>
      <c r="C460" t="s">
        <v>29</v>
      </c>
      <c r="D460" t="s">
        <v>13</v>
      </c>
      <c r="E460" t="s">
        <v>57</v>
      </c>
      <c r="F460" t="s">
        <v>44</v>
      </c>
      <c r="G460">
        <v>3</v>
      </c>
      <c r="H460">
        <v>20</v>
      </c>
      <c r="I460">
        <v>60</v>
      </c>
      <c r="J460" t="s">
        <v>16</v>
      </c>
    </row>
    <row r="461" spans="1:10">
      <c r="A461">
        <v>1137</v>
      </c>
      <c r="B461" t="s">
        <v>153</v>
      </c>
      <c r="C461" t="s">
        <v>32</v>
      </c>
      <c r="D461" t="s">
        <v>18</v>
      </c>
      <c r="E461" t="s">
        <v>57</v>
      </c>
      <c r="F461" t="s">
        <v>44</v>
      </c>
      <c r="G461">
        <v>3</v>
      </c>
      <c r="H461">
        <v>20</v>
      </c>
      <c r="I461">
        <v>60</v>
      </c>
      <c r="J461" t="s">
        <v>34</v>
      </c>
    </row>
    <row r="462" spans="1:10">
      <c r="A462">
        <v>1138</v>
      </c>
      <c r="B462" t="s">
        <v>154</v>
      </c>
      <c r="C462" t="s">
        <v>42</v>
      </c>
      <c r="D462" t="s">
        <v>30</v>
      </c>
      <c r="E462" t="s">
        <v>57</v>
      </c>
      <c r="F462" t="s">
        <v>44</v>
      </c>
      <c r="G462">
        <v>3</v>
      </c>
      <c r="H462">
        <v>20</v>
      </c>
      <c r="I462">
        <v>60</v>
      </c>
      <c r="J462" t="s">
        <v>38</v>
      </c>
    </row>
    <row r="463" spans="1:10">
      <c r="A463">
        <v>1149</v>
      </c>
      <c r="B463" t="s">
        <v>161</v>
      </c>
      <c r="C463" t="s">
        <v>42</v>
      </c>
      <c r="D463" t="s">
        <v>30</v>
      </c>
      <c r="E463" t="s">
        <v>57</v>
      </c>
      <c r="F463" t="s">
        <v>44</v>
      </c>
      <c r="G463">
        <v>3</v>
      </c>
      <c r="H463">
        <v>20</v>
      </c>
      <c r="I463">
        <v>60</v>
      </c>
      <c r="J463" t="s">
        <v>20</v>
      </c>
    </row>
    <row r="464" spans="1:10">
      <c r="A464">
        <v>1226</v>
      </c>
      <c r="B464" t="s">
        <v>58</v>
      </c>
      <c r="C464" t="s">
        <v>22</v>
      </c>
      <c r="D464" t="s">
        <v>13</v>
      </c>
      <c r="E464" t="s">
        <v>57</v>
      </c>
      <c r="F464" t="s">
        <v>44</v>
      </c>
      <c r="G464">
        <v>3</v>
      </c>
      <c r="H464">
        <v>20</v>
      </c>
      <c r="I464">
        <v>60</v>
      </c>
      <c r="J464" t="s">
        <v>34</v>
      </c>
    </row>
    <row r="465" spans="1:10">
      <c r="A465">
        <v>1230</v>
      </c>
      <c r="B465" t="s">
        <v>214</v>
      </c>
      <c r="C465" t="s">
        <v>25</v>
      </c>
      <c r="D465" t="s">
        <v>30</v>
      </c>
      <c r="E465" t="s">
        <v>57</v>
      </c>
      <c r="F465" t="s">
        <v>44</v>
      </c>
      <c r="G465">
        <v>3</v>
      </c>
      <c r="H465">
        <v>20</v>
      </c>
      <c r="I465">
        <v>60</v>
      </c>
      <c r="J465" t="s">
        <v>20</v>
      </c>
    </row>
    <row r="466" spans="1:10">
      <c r="A466">
        <v>1244</v>
      </c>
      <c r="B466" t="s">
        <v>62</v>
      </c>
      <c r="C466" t="s">
        <v>47</v>
      </c>
      <c r="D466" t="s">
        <v>30</v>
      </c>
      <c r="E466" t="s">
        <v>57</v>
      </c>
      <c r="F466" t="s">
        <v>44</v>
      </c>
      <c r="G466">
        <v>3</v>
      </c>
      <c r="H466">
        <v>20</v>
      </c>
      <c r="I466">
        <v>60</v>
      </c>
      <c r="J466" t="s">
        <v>38</v>
      </c>
    </row>
    <row r="467" spans="1:10">
      <c r="A467">
        <v>1296</v>
      </c>
      <c r="B467" t="s">
        <v>58</v>
      </c>
      <c r="C467" t="s">
        <v>22</v>
      </c>
      <c r="D467" t="s">
        <v>23</v>
      </c>
      <c r="E467" t="s">
        <v>57</v>
      </c>
      <c r="F467" t="s">
        <v>44</v>
      </c>
      <c r="G467">
        <v>3</v>
      </c>
      <c r="H467">
        <v>20</v>
      </c>
      <c r="I467">
        <v>60</v>
      </c>
      <c r="J467" t="s">
        <v>16</v>
      </c>
    </row>
    <row r="468" spans="1:10">
      <c r="A468">
        <v>1338</v>
      </c>
      <c r="B468" t="s">
        <v>64</v>
      </c>
      <c r="C468" t="s">
        <v>12</v>
      </c>
      <c r="D468" t="s">
        <v>23</v>
      </c>
      <c r="E468" t="s">
        <v>57</v>
      </c>
      <c r="F468" t="s">
        <v>44</v>
      </c>
      <c r="G468">
        <v>3</v>
      </c>
      <c r="H468">
        <v>20</v>
      </c>
      <c r="I468">
        <v>60</v>
      </c>
      <c r="J468" t="s">
        <v>38</v>
      </c>
    </row>
    <row r="469" spans="1:10">
      <c r="A469">
        <v>1375</v>
      </c>
      <c r="B469" t="s">
        <v>266</v>
      </c>
      <c r="C469" t="s">
        <v>60</v>
      </c>
      <c r="D469" t="s">
        <v>18</v>
      </c>
      <c r="E469" t="s">
        <v>57</v>
      </c>
      <c r="F469" t="s">
        <v>44</v>
      </c>
      <c r="G469">
        <v>3</v>
      </c>
      <c r="H469">
        <v>20</v>
      </c>
      <c r="I469">
        <v>60</v>
      </c>
      <c r="J469" t="s">
        <v>16</v>
      </c>
    </row>
    <row r="470" spans="1:10">
      <c r="A470">
        <v>1409</v>
      </c>
      <c r="B470" t="s">
        <v>158</v>
      </c>
      <c r="C470" t="s">
        <v>71</v>
      </c>
      <c r="D470" t="s">
        <v>18</v>
      </c>
      <c r="E470" t="s">
        <v>57</v>
      </c>
      <c r="F470" t="s">
        <v>44</v>
      </c>
      <c r="G470">
        <v>3</v>
      </c>
      <c r="H470">
        <v>20</v>
      </c>
      <c r="I470">
        <v>60</v>
      </c>
      <c r="J470" t="s">
        <v>38</v>
      </c>
    </row>
    <row r="471" spans="1:10">
      <c r="A471">
        <v>1441</v>
      </c>
      <c r="B471" t="s">
        <v>291</v>
      </c>
      <c r="C471" t="s">
        <v>42</v>
      </c>
      <c r="D471" t="s">
        <v>30</v>
      </c>
      <c r="E471" t="s">
        <v>57</v>
      </c>
      <c r="F471" t="s">
        <v>44</v>
      </c>
      <c r="G471">
        <v>3</v>
      </c>
      <c r="H471">
        <v>20</v>
      </c>
      <c r="I471">
        <v>60</v>
      </c>
      <c r="J471" t="s">
        <v>16</v>
      </c>
    </row>
    <row r="472" spans="1:10">
      <c r="A472">
        <v>1472</v>
      </c>
      <c r="B472" t="s">
        <v>203</v>
      </c>
      <c r="C472" t="s">
        <v>32</v>
      </c>
      <c r="D472" t="s">
        <v>18</v>
      </c>
      <c r="E472" t="s">
        <v>57</v>
      </c>
      <c r="F472" t="s">
        <v>44</v>
      </c>
      <c r="G472">
        <v>3</v>
      </c>
      <c r="H472">
        <v>20</v>
      </c>
      <c r="I472">
        <v>60</v>
      </c>
      <c r="J472" t="s">
        <v>38</v>
      </c>
    </row>
    <row r="473" spans="1:10">
      <c r="A473">
        <v>1023</v>
      </c>
      <c r="B473" t="s">
        <v>61</v>
      </c>
      <c r="C473" t="s">
        <v>32</v>
      </c>
      <c r="D473" t="s">
        <v>18</v>
      </c>
      <c r="E473" t="s">
        <v>57</v>
      </c>
      <c r="F473" t="s">
        <v>44</v>
      </c>
      <c r="G473">
        <v>2</v>
      </c>
      <c r="H473">
        <v>20</v>
      </c>
      <c r="I473">
        <v>40</v>
      </c>
      <c r="J473" t="s">
        <v>38</v>
      </c>
    </row>
    <row r="474" spans="1:10">
      <c r="A474">
        <v>1033</v>
      </c>
      <c r="B474" t="s">
        <v>72</v>
      </c>
      <c r="C474" t="s">
        <v>54</v>
      </c>
      <c r="D474" t="s">
        <v>23</v>
      </c>
      <c r="E474" t="s">
        <v>57</v>
      </c>
      <c r="F474" t="s">
        <v>44</v>
      </c>
      <c r="G474">
        <v>2</v>
      </c>
      <c r="H474">
        <v>20</v>
      </c>
      <c r="I474">
        <v>40</v>
      </c>
      <c r="J474" t="s">
        <v>20</v>
      </c>
    </row>
    <row r="475" spans="1:10">
      <c r="A475">
        <v>1044</v>
      </c>
      <c r="B475" t="s">
        <v>82</v>
      </c>
      <c r="C475" t="s">
        <v>60</v>
      </c>
      <c r="D475" t="s">
        <v>13</v>
      </c>
      <c r="E475" t="s">
        <v>57</v>
      </c>
      <c r="F475" t="s">
        <v>44</v>
      </c>
      <c r="G475">
        <v>2</v>
      </c>
      <c r="H475">
        <v>20</v>
      </c>
      <c r="I475">
        <v>40</v>
      </c>
      <c r="J475" t="s">
        <v>16</v>
      </c>
    </row>
    <row r="476" spans="1:10">
      <c r="A476">
        <v>1100</v>
      </c>
      <c r="B476" t="s">
        <v>127</v>
      </c>
      <c r="C476" t="s">
        <v>54</v>
      </c>
      <c r="D476" t="s">
        <v>13</v>
      </c>
      <c r="E476" t="s">
        <v>57</v>
      </c>
      <c r="F476" t="s">
        <v>44</v>
      </c>
      <c r="G476">
        <v>2</v>
      </c>
      <c r="H476">
        <v>20</v>
      </c>
      <c r="I476">
        <v>40</v>
      </c>
      <c r="J476" t="s">
        <v>38</v>
      </c>
    </row>
    <row r="477" spans="1:10">
      <c r="A477">
        <v>1128</v>
      </c>
      <c r="B477" t="s">
        <v>59</v>
      </c>
      <c r="C477" t="s">
        <v>12</v>
      </c>
      <c r="D477" t="s">
        <v>23</v>
      </c>
      <c r="E477" t="s">
        <v>57</v>
      </c>
      <c r="F477" t="s">
        <v>44</v>
      </c>
      <c r="G477">
        <v>2</v>
      </c>
      <c r="H477">
        <v>20</v>
      </c>
      <c r="I477">
        <v>40</v>
      </c>
      <c r="J477" t="s">
        <v>34</v>
      </c>
    </row>
    <row r="478" spans="1:10">
      <c r="A478">
        <v>1141</v>
      </c>
      <c r="B478" t="s">
        <v>149</v>
      </c>
      <c r="C478" t="s">
        <v>12</v>
      </c>
      <c r="D478" t="s">
        <v>13</v>
      </c>
      <c r="E478" t="s">
        <v>57</v>
      </c>
      <c r="F478" t="s">
        <v>44</v>
      </c>
      <c r="G478">
        <v>2</v>
      </c>
      <c r="H478">
        <v>20</v>
      </c>
      <c r="I478">
        <v>40</v>
      </c>
      <c r="J478" t="s">
        <v>20</v>
      </c>
    </row>
    <row r="479" spans="1:10">
      <c r="A479">
        <v>1198</v>
      </c>
      <c r="B479" t="s">
        <v>192</v>
      </c>
      <c r="C479" t="s">
        <v>47</v>
      </c>
      <c r="D479" t="s">
        <v>23</v>
      </c>
      <c r="E479" t="s">
        <v>57</v>
      </c>
      <c r="F479" t="s">
        <v>44</v>
      </c>
      <c r="G479">
        <v>2</v>
      </c>
      <c r="H479">
        <v>20</v>
      </c>
      <c r="I479">
        <v>40</v>
      </c>
      <c r="J479" t="s">
        <v>16</v>
      </c>
    </row>
    <row r="480" spans="1:10">
      <c r="A480">
        <v>1238</v>
      </c>
      <c r="B480" t="s">
        <v>140</v>
      </c>
      <c r="C480" t="s">
        <v>29</v>
      </c>
      <c r="D480" t="s">
        <v>23</v>
      </c>
      <c r="E480" t="s">
        <v>57</v>
      </c>
      <c r="F480" t="s">
        <v>44</v>
      </c>
      <c r="G480">
        <v>2</v>
      </c>
      <c r="H480">
        <v>20</v>
      </c>
      <c r="I480">
        <v>40</v>
      </c>
      <c r="J480" t="s">
        <v>16</v>
      </c>
    </row>
    <row r="481" spans="1:10">
      <c r="A481">
        <v>1346</v>
      </c>
      <c r="B481" t="s">
        <v>256</v>
      </c>
      <c r="C481" t="s">
        <v>32</v>
      </c>
      <c r="D481" t="s">
        <v>13</v>
      </c>
      <c r="E481" t="s">
        <v>57</v>
      </c>
      <c r="F481" t="s">
        <v>44</v>
      </c>
      <c r="G481">
        <v>2</v>
      </c>
      <c r="H481">
        <v>20</v>
      </c>
      <c r="I481">
        <v>40</v>
      </c>
      <c r="J481" t="s">
        <v>34</v>
      </c>
    </row>
    <row r="482" spans="1:10">
      <c r="A482">
        <v>1350</v>
      </c>
      <c r="B482" t="s">
        <v>107</v>
      </c>
      <c r="C482" t="s">
        <v>25</v>
      </c>
      <c r="D482" t="s">
        <v>30</v>
      </c>
      <c r="E482" t="s">
        <v>57</v>
      </c>
      <c r="F482" t="s">
        <v>44</v>
      </c>
      <c r="G482">
        <v>2</v>
      </c>
      <c r="H482">
        <v>20</v>
      </c>
      <c r="I482">
        <v>40</v>
      </c>
      <c r="J482" t="s">
        <v>20</v>
      </c>
    </row>
    <row r="483" spans="1:10">
      <c r="A483">
        <v>1406</v>
      </c>
      <c r="B483" t="s">
        <v>140</v>
      </c>
      <c r="C483" t="s">
        <v>60</v>
      </c>
      <c r="D483" t="s">
        <v>13</v>
      </c>
      <c r="E483" t="s">
        <v>57</v>
      </c>
      <c r="F483" t="s">
        <v>44</v>
      </c>
      <c r="G483">
        <v>2</v>
      </c>
      <c r="H483">
        <v>20</v>
      </c>
      <c r="I483">
        <v>40</v>
      </c>
      <c r="J483" t="s">
        <v>20</v>
      </c>
    </row>
    <row r="484" spans="1:10">
      <c r="A484">
        <v>1448</v>
      </c>
      <c r="B484" t="s">
        <v>201</v>
      </c>
      <c r="C484" t="s">
        <v>29</v>
      </c>
      <c r="D484" t="s">
        <v>18</v>
      </c>
      <c r="E484" t="s">
        <v>57</v>
      </c>
      <c r="F484" t="s">
        <v>44</v>
      </c>
      <c r="G484">
        <v>2</v>
      </c>
      <c r="H484">
        <v>20</v>
      </c>
      <c r="I484">
        <v>40</v>
      </c>
      <c r="J484" t="s">
        <v>38</v>
      </c>
    </row>
    <row r="485" spans="1:10">
      <c r="A485">
        <v>1460</v>
      </c>
      <c r="B485" t="s">
        <v>298</v>
      </c>
      <c r="C485" t="s">
        <v>60</v>
      </c>
      <c r="D485" t="s">
        <v>13</v>
      </c>
      <c r="E485" t="s">
        <v>57</v>
      </c>
      <c r="F485" t="s">
        <v>44</v>
      </c>
      <c r="G485">
        <v>2</v>
      </c>
      <c r="H485">
        <v>20</v>
      </c>
      <c r="I485">
        <v>40</v>
      </c>
      <c r="J485" t="s">
        <v>20</v>
      </c>
    </row>
    <row r="486" spans="1:10">
      <c r="A486">
        <v>1061</v>
      </c>
      <c r="B486" t="s">
        <v>95</v>
      </c>
      <c r="C486" t="s">
        <v>47</v>
      </c>
      <c r="D486" t="s">
        <v>18</v>
      </c>
      <c r="E486" t="s">
        <v>57</v>
      </c>
      <c r="F486" t="s">
        <v>44</v>
      </c>
      <c r="G486">
        <v>1</v>
      </c>
      <c r="H486">
        <v>20</v>
      </c>
      <c r="I486">
        <v>20</v>
      </c>
      <c r="J486" t="s">
        <v>20</v>
      </c>
    </row>
    <row r="487" spans="1:10">
      <c r="A487">
        <v>1070</v>
      </c>
      <c r="B487" t="s">
        <v>104</v>
      </c>
      <c r="C487" t="s">
        <v>22</v>
      </c>
      <c r="D487" t="s">
        <v>30</v>
      </c>
      <c r="E487" t="s">
        <v>57</v>
      </c>
      <c r="F487" t="s">
        <v>44</v>
      </c>
      <c r="G487">
        <v>1</v>
      </c>
      <c r="H487">
        <v>20</v>
      </c>
      <c r="I487">
        <v>20</v>
      </c>
      <c r="J487" t="s">
        <v>34</v>
      </c>
    </row>
    <row r="488" spans="1:10">
      <c r="A488">
        <v>1078</v>
      </c>
      <c r="B488" t="s">
        <v>111</v>
      </c>
      <c r="C488" t="s">
        <v>60</v>
      </c>
      <c r="D488" t="s">
        <v>23</v>
      </c>
      <c r="E488" t="s">
        <v>57</v>
      </c>
      <c r="F488" t="s">
        <v>44</v>
      </c>
      <c r="G488">
        <v>1</v>
      </c>
      <c r="H488">
        <v>20</v>
      </c>
      <c r="I488">
        <v>20</v>
      </c>
      <c r="J488" t="s">
        <v>20</v>
      </c>
    </row>
    <row r="489" spans="1:10">
      <c r="A489">
        <v>1095</v>
      </c>
      <c r="B489" t="s">
        <v>124</v>
      </c>
      <c r="C489" t="s">
        <v>42</v>
      </c>
      <c r="D489" t="s">
        <v>18</v>
      </c>
      <c r="E489" t="s">
        <v>57</v>
      </c>
      <c r="F489" t="s">
        <v>44</v>
      </c>
      <c r="G489">
        <v>1</v>
      </c>
      <c r="H489">
        <v>20</v>
      </c>
      <c r="I489">
        <v>20</v>
      </c>
      <c r="J489" t="s">
        <v>20</v>
      </c>
    </row>
    <row r="490" spans="1:10">
      <c r="A490">
        <v>1209</v>
      </c>
      <c r="B490" t="s">
        <v>202</v>
      </c>
      <c r="C490" t="s">
        <v>29</v>
      </c>
      <c r="D490" t="s">
        <v>13</v>
      </c>
      <c r="E490" t="s">
        <v>57</v>
      </c>
      <c r="F490" t="s">
        <v>44</v>
      </c>
      <c r="G490">
        <v>1</v>
      </c>
      <c r="H490">
        <v>20</v>
      </c>
      <c r="I490">
        <v>20</v>
      </c>
      <c r="J490" t="s">
        <v>34</v>
      </c>
    </row>
    <row r="491" spans="1:10">
      <c r="A491">
        <v>1219</v>
      </c>
      <c r="B491" t="s">
        <v>208</v>
      </c>
      <c r="C491" t="s">
        <v>42</v>
      </c>
      <c r="D491" t="s">
        <v>30</v>
      </c>
      <c r="E491" t="s">
        <v>57</v>
      </c>
      <c r="F491" t="s">
        <v>44</v>
      </c>
      <c r="G491">
        <v>1</v>
      </c>
      <c r="H491">
        <v>20</v>
      </c>
      <c r="I491">
        <v>20</v>
      </c>
      <c r="J491" t="s">
        <v>16</v>
      </c>
    </row>
    <row r="492" spans="1:10">
      <c r="A492">
        <v>1221</v>
      </c>
      <c r="B492" t="s">
        <v>66</v>
      </c>
      <c r="C492" t="s">
        <v>54</v>
      </c>
      <c r="D492" t="s">
        <v>23</v>
      </c>
      <c r="E492" t="s">
        <v>57</v>
      </c>
      <c r="F492" t="s">
        <v>44</v>
      </c>
      <c r="G492">
        <v>1</v>
      </c>
      <c r="H492">
        <v>20</v>
      </c>
      <c r="I492">
        <v>20</v>
      </c>
      <c r="J492" t="s">
        <v>34</v>
      </c>
    </row>
    <row r="493" spans="1:10">
      <c r="A493">
        <v>1260</v>
      </c>
      <c r="B493" t="s">
        <v>149</v>
      </c>
      <c r="C493" t="s">
        <v>60</v>
      </c>
      <c r="D493" t="s">
        <v>30</v>
      </c>
      <c r="E493" t="s">
        <v>57</v>
      </c>
      <c r="F493" t="s">
        <v>44</v>
      </c>
      <c r="G493">
        <v>1</v>
      </c>
      <c r="H493">
        <v>20</v>
      </c>
      <c r="I493">
        <v>20</v>
      </c>
      <c r="J493" t="s">
        <v>16</v>
      </c>
    </row>
    <row r="494" spans="1:10">
      <c r="A494">
        <v>1277</v>
      </c>
      <c r="B494" t="s">
        <v>136</v>
      </c>
      <c r="C494" t="s">
        <v>60</v>
      </c>
      <c r="D494" t="s">
        <v>18</v>
      </c>
      <c r="E494" t="s">
        <v>57</v>
      </c>
      <c r="F494" t="s">
        <v>44</v>
      </c>
      <c r="G494">
        <v>1</v>
      </c>
      <c r="H494">
        <v>20</v>
      </c>
      <c r="I494">
        <v>20</v>
      </c>
      <c r="J494" t="s">
        <v>34</v>
      </c>
    </row>
    <row r="495" spans="1:10">
      <c r="A495">
        <v>1328</v>
      </c>
      <c r="B495" t="s">
        <v>131</v>
      </c>
      <c r="C495" t="s">
        <v>42</v>
      </c>
      <c r="D495" t="s">
        <v>13</v>
      </c>
      <c r="E495" t="s">
        <v>57</v>
      </c>
      <c r="F495" t="s">
        <v>44</v>
      </c>
      <c r="G495">
        <v>1</v>
      </c>
      <c r="H495">
        <v>20</v>
      </c>
      <c r="I495">
        <v>20</v>
      </c>
      <c r="J495" t="s">
        <v>34</v>
      </c>
    </row>
    <row r="496" spans="1:10">
      <c r="A496">
        <v>1334</v>
      </c>
      <c r="B496" t="s">
        <v>72</v>
      </c>
      <c r="C496" t="s">
        <v>47</v>
      </c>
      <c r="D496" t="s">
        <v>30</v>
      </c>
      <c r="E496" t="s">
        <v>57</v>
      </c>
      <c r="F496" t="s">
        <v>44</v>
      </c>
      <c r="G496">
        <v>1</v>
      </c>
      <c r="H496">
        <v>20</v>
      </c>
      <c r="I496">
        <v>20</v>
      </c>
      <c r="J496" t="s">
        <v>20</v>
      </c>
    </row>
    <row r="497" spans="1:10">
      <c r="A497">
        <v>1395</v>
      </c>
      <c r="B497" t="s">
        <v>279</v>
      </c>
      <c r="C497" t="s">
        <v>25</v>
      </c>
      <c r="D497" t="s">
        <v>23</v>
      </c>
      <c r="E497" t="s">
        <v>57</v>
      </c>
      <c r="F497" t="s">
        <v>44</v>
      </c>
      <c r="G497">
        <v>1</v>
      </c>
      <c r="H497">
        <v>20</v>
      </c>
      <c r="I497">
        <v>20</v>
      </c>
      <c r="J497" t="s">
        <v>20</v>
      </c>
    </row>
    <row r="498" spans="1:10">
      <c r="A498">
        <v>1431</v>
      </c>
      <c r="B498" t="s">
        <v>287</v>
      </c>
      <c r="C498" t="s">
        <v>54</v>
      </c>
      <c r="D498" t="s">
        <v>30</v>
      </c>
      <c r="E498" t="s">
        <v>57</v>
      </c>
      <c r="F498" t="s">
        <v>44</v>
      </c>
      <c r="G498">
        <v>1</v>
      </c>
      <c r="H498">
        <v>20</v>
      </c>
      <c r="I498">
        <v>20</v>
      </c>
      <c r="J498" t="s">
        <v>34</v>
      </c>
    </row>
    <row r="499" spans="1:10">
      <c r="A499">
        <v>1440</v>
      </c>
      <c r="B499" t="s">
        <v>174</v>
      </c>
      <c r="C499" t="s">
        <v>54</v>
      </c>
      <c r="D499" t="s">
        <v>23</v>
      </c>
      <c r="E499" t="s">
        <v>57</v>
      </c>
      <c r="F499" t="s">
        <v>44</v>
      </c>
      <c r="G499">
        <v>1</v>
      </c>
      <c r="H499">
        <v>20</v>
      </c>
      <c r="I499">
        <v>20</v>
      </c>
      <c r="J499" t="s">
        <v>16</v>
      </c>
    </row>
    <row r="500" spans="1:10">
      <c r="A500">
        <v>1452</v>
      </c>
      <c r="B500" t="s">
        <v>296</v>
      </c>
      <c r="C500" t="s">
        <v>12</v>
      </c>
      <c r="D500" t="s">
        <v>23</v>
      </c>
      <c r="E500" t="s">
        <v>57</v>
      </c>
      <c r="F500" t="s">
        <v>44</v>
      </c>
      <c r="G500">
        <v>1</v>
      </c>
      <c r="H500">
        <v>20</v>
      </c>
      <c r="I500">
        <v>20</v>
      </c>
      <c r="J500" t="s">
        <v>34</v>
      </c>
    </row>
    <row r="501" spans="1:10">
      <c r="A501">
        <v>1484</v>
      </c>
      <c r="B501" t="s">
        <v>304</v>
      </c>
      <c r="C501" t="s">
        <v>42</v>
      </c>
      <c r="D501" t="s">
        <v>18</v>
      </c>
      <c r="E501" t="s">
        <v>57</v>
      </c>
      <c r="F501" t="s">
        <v>44</v>
      </c>
      <c r="G501">
        <v>1</v>
      </c>
      <c r="H501">
        <v>20</v>
      </c>
      <c r="I501">
        <v>20</v>
      </c>
      <c r="J50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6880-2309-492A-A8B3-E9DCF1D37F6F}">
  <dimension ref="C2:L23"/>
  <sheetViews>
    <sheetView workbookViewId="0">
      <selection activeCell="I15" sqref="I15"/>
    </sheetView>
  </sheetViews>
  <sheetFormatPr defaultRowHeight="15"/>
  <cols>
    <col min="3" max="3" width="42.7109375" customWidth="1"/>
    <col min="4" max="4" width="11.5703125" customWidth="1"/>
    <col min="6" max="6" width="10.28515625" bestFit="1" customWidth="1"/>
    <col min="8" max="8" width="12.140625" customWidth="1"/>
    <col min="9" max="9" width="36.5703125" bestFit="1" customWidth="1"/>
    <col min="10" max="10" width="14.85546875" bestFit="1" customWidth="1"/>
  </cols>
  <sheetData>
    <row r="2" spans="3:10">
      <c r="C2" s="4" t="s">
        <v>313</v>
      </c>
    </row>
    <row r="3" spans="3:10" ht="30.75">
      <c r="C3" s="1" t="s">
        <v>314</v>
      </c>
    </row>
    <row r="4" spans="3:10">
      <c r="C4">
        <f>VLOOKUP(D4,Table14[#All],9,0)</f>
        <v>75000</v>
      </c>
      <c r="D4">
        <v>1005</v>
      </c>
      <c r="I4" t="s">
        <v>315</v>
      </c>
      <c r="J4" t="s">
        <v>316</v>
      </c>
    </row>
    <row r="5" spans="3:10">
      <c r="I5" t="str" cm="1">
        <f t="array" ref="I5:I8">_xlfn.UNIQUE(Table14[Category])</f>
        <v>Electronics</v>
      </c>
      <c r="J5" t="str" cm="1">
        <f t="array" ref="J5:J12">_xlfn.UNIQUE(Table14[Product])</f>
        <v>Laptop</v>
      </c>
    </row>
    <row r="6" spans="3:10">
      <c r="C6" t="s">
        <v>317</v>
      </c>
      <c r="I6" t="str">
        <v>Furniture</v>
      </c>
      <c r="J6" t="str">
        <v>Mobile</v>
      </c>
    </row>
    <row r="7" spans="3:10">
      <c r="I7" t="str">
        <v>Accessories</v>
      </c>
      <c r="J7" t="str">
        <v>Printer</v>
      </c>
    </row>
    <row r="8" spans="3:10">
      <c r="C8" s="1">
        <f>SUMIF(Table14[Category],D8,Table14[TotalAmount])</f>
        <v>18165000</v>
      </c>
      <c r="D8" t="s">
        <v>27</v>
      </c>
      <c r="I8" t="str">
        <v>Stationery</v>
      </c>
      <c r="J8" t="str">
        <v>Desk</v>
      </c>
    </row>
    <row r="9" spans="3:10">
      <c r="J9" t="str">
        <v>Chair</v>
      </c>
    </row>
    <row r="10" spans="3:10">
      <c r="C10" t="s">
        <v>318</v>
      </c>
      <c r="J10" t="str">
        <v>Headphones</v>
      </c>
    </row>
    <row r="11" spans="3:10" ht="30.75">
      <c r="C11" s="1">
        <f>SUMIF(Table1[Month_Name],D11,Table1[Quantity])</f>
        <v>119</v>
      </c>
      <c r="D11" t="s">
        <v>319</v>
      </c>
      <c r="J11" t="str">
        <v>Notebook</v>
      </c>
    </row>
    <row r="12" spans="3:10">
      <c r="C12" s="1" t="s">
        <v>320</v>
      </c>
      <c r="J12" t="str">
        <v>Pen</v>
      </c>
    </row>
    <row r="13" spans="3:10" ht="30.75">
      <c r="C13" s="1" t="str">
        <f>INDEX(Table14[PaymentMode],MATCH(Question!D13,Table14[OrderID],0))</f>
        <v>Cash</v>
      </c>
      <c r="D13">
        <v>1012</v>
      </c>
      <c r="I13" s="1" t="s">
        <v>321</v>
      </c>
    </row>
    <row r="14" spans="3:10">
      <c r="I14">
        <f>ROUND((SUMIF(Table14[Region],J14,Table14[TotalAmount])*100)/(SUM(Table14[TotalAmount])),2)</f>
        <v>29.02</v>
      </c>
      <c r="J14" t="s">
        <v>322</v>
      </c>
    </row>
    <row r="15" spans="3:10">
      <c r="C15" t="s">
        <v>323</v>
      </c>
    </row>
    <row r="16" spans="3:10">
      <c r="C16">
        <f>SUMIF(Table1[Month_Name],D16,Table1[TotalAmount])</f>
        <v>1715420</v>
      </c>
      <c r="D16" t="s">
        <v>324</v>
      </c>
      <c r="I16" t="s">
        <v>325</v>
      </c>
    </row>
    <row r="17" spans="3:12">
      <c r="I17">
        <f>SUM(Table14[TotalAmount])</f>
        <v>20779020</v>
      </c>
    </row>
    <row r="18" spans="3:12" ht="30.75">
      <c r="C18" s="1" t="s">
        <v>326</v>
      </c>
      <c r="I18" s="1" t="s">
        <v>327</v>
      </c>
    </row>
    <row r="19" spans="3:12" ht="30.75">
      <c r="C19" s="1">
        <f>COUNTIF(Table14[Category],D19)</f>
        <v>117</v>
      </c>
      <c r="D19" t="s">
        <v>15</v>
      </c>
      <c r="I19">
        <f>SUMIF(Table14[Region],J14,Table14[TotalAmount])</f>
        <v>6030780</v>
      </c>
    </row>
    <row r="21" spans="3:12">
      <c r="C21">
        <v>1004</v>
      </c>
    </row>
    <row r="23" spans="3:12">
      <c r="C23" cm="1">
        <f t="array" ref="C23:L23">_xlfn._xlws.FILTER(Table14[],Table14[OrderID]=C21)</f>
        <v>1004</v>
      </c>
      <c r="D23" t="str">
        <v>2024-04-03</v>
      </c>
      <c r="E23" t="str">
        <v>Neha</v>
      </c>
      <c r="F23" t="str">
        <v>East</v>
      </c>
      <c r="G23" t="str">
        <v>Printer</v>
      </c>
      <c r="H23" t="str">
        <v>Electronics</v>
      </c>
      <c r="I23">
        <v>2</v>
      </c>
      <c r="J23">
        <v>15000</v>
      </c>
      <c r="K23">
        <v>30000</v>
      </c>
      <c r="L23" t="str">
        <v>Cash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3355-EA8A-474B-A0E6-FCCCD3EE2C55}">
  <dimension ref="A1:D15"/>
  <sheetViews>
    <sheetView workbookViewId="0">
      <selection activeCell="D10" sqref="D10"/>
    </sheetView>
  </sheetViews>
  <sheetFormatPr defaultRowHeight="15"/>
  <cols>
    <col min="1" max="1" width="16.42578125" bestFit="1" customWidth="1"/>
    <col min="2" max="2" width="16.140625" bestFit="1" customWidth="1"/>
    <col min="3" max="3" width="15.42578125" bestFit="1" customWidth="1"/>
    <col min="4" max="5" width="19.28515625" bestFit="1" customWidth="1"/>
  </cols>
  <sheetData>
    <row r="1" spans="1:4">
      <c r="A1" s="2" t="s">
        <v>3</v>
      </c>
      <c r="B1" t="s">
        <v>13</v>
      </c>
    </row>
    <row r="3" spans="1:4">
      <c r="A3" s="2" t="s">
        <v>10</v>
      </c>
      <c r="B3" t="s">
        <v>328</v>
      </c>
      <c r="C3" t="s">
        <v>329</v>
      </c>
      <c r="D3" t="s">
        <v>330</v>
      </c>
    </row>
    <row r="4" spans="1:4">
      <c r="A4" t="s">
        <v>331</v>
      </c>
      <c r="B4" s="3">
        <v>2</v>
      </c>
      <c r="C4" s="3">
        <v>5</v>
      </c>
      <c r="D4" s="3">
        <v>100</v>
      </c>
    </row>
    <row r="5" spans="1:4">
      <c r="A5" t="s">
        <v>332</v>
      </c>
      <c r="B5" s="3">
        <v>2</v>
      </c>
      <c r="C5" s="3">
        <v>7</v>
      </c>
      <c r="D5" s="3">
        <v>140</v>
      </c>
    </row>
    <row r="6" spans="1:4">
      <c r="A6" t="s">
        <v>333</v>
      </c>
      <c r="B6" s="3">
        <v>5</v>
      </c>
      <c r="C6" s="3">
        <v>15</v>
      </c>
      <c r="D6" s="3">
        <v>1600</v>
      </c>
    </row>
    <row r="7" spans="1:4">
      <c r="A7" t="s">
        <v>334</v>
      </c>
      <c r="B7" s="3">
        <v>1</v>
      </c>
      <c r="C7" s="3">
        <v>1</v>
      </c>
      <c r="D7" s="3">
        <v>150</v>
      </c>
    </row>
    <row r="8" spans="1:4">
      <c r="A8" t="s">
        <v>335</v>
      </c>
      <c r="B8" s="3">
        <v>2</v>
      </c>
      <c r="C8" s="3">
        <v>6</v>
      </c>
      <c r="D8" s="3">
        <v>510</v>
      </c>
    </row>
    <row r="9" spans="1:4">
      <c r="A9" t="s">
        <v>336</v>
      </c>
      <c r="B9" s="3">
        <v>1</v>
      </c>
      <c r="C9" s="3">
        <v>4</v>
      </c>
      <c r="D9" s="3">
        <v>80</v>
      </c>
    </row>
    <row r="10" spans="1:4">
      <c r="A10" t="s">
        <v>337</v>
      </c>
      <c r="B10" s="3">
        <v>4</v>
      </c>
      <c r="C10" s="3">
        <v>15</v>
      </c>
      <c r="D10" s="3">
        <v>1470</v>
      </c>
    </row>
    <row r="11" spans="1:4">
      <c r="A11" t="s">
        <v>338</v>
      </c>
      <c r="B11" s="3">
        <v>2</v>
      </c>
      <c r="C11" s="3">
        <v>6</v>
      </c>
      <c r="D11" s="3">
        <v>770</v>
      </c>
    </row>
    <row r="12" spans="1:4">
      <c r="A12" t="s">
        <v>339</v>
      </c>
      <c r="B12" s="3">
        <v>5</v>
      </c>
      <c r="C12" s="3">
        <v>20</v>
      </c>
      <c r="D12" s="3">
        <v>2350</v>
      </c>
    </row>
    <row r="13" spans="1:4">
      <c r="A13" t="s">
        <v>340</v>
      </c>
      <c r="B13" s="3">
        <v>4</v>
      </c>
      <c r="C13" s="3">
        <v>13</v>
      </c>
      <c r="D13" s="3">
        <v>650</v>
      </c>
    </row>
    <row r="14" spans="1:4">
      <c r="A14" t="s">
        <v>341</v>
      </c>
      <c r="B14" s="3">
        <v>5</v>
      </c>
      <c r="C14" s="3">
        <v>13</v>
      </c>
      <c r="D14" s="3">
        <v>1690</v>
      </c>
    </row>
    <row r="15" spans="1:4">
      <c r="A15" t="s">
        <v>342</v>
      </c>
      <c r="B15" s="3">
        <v>33</v>
      </c>
      <c r="C15" s="3">
        <v>105</v>
      </c>
      <c r="D15" s="3">
        <v>9510</v>
      </c>
    </row>
  </sheetData>
  <conditionalFormatting pivot="1" sqref="C4:C1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{C26D7BB4-2D99-4C7A-A4A5-CFB7AF1E3374}</x14:id>
        </ext>
      </extLst>
    </cfRule>
  </conditionalFormatting>
  <conditionalFormatting pivot="1" sqref="D4:D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1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26D7BB4-2D99-4C7A-A4A5-CFB7AF1E3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C4:C14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12BF-6A5E-4FDE-8218-3EE1108FB164}">
  <dimension ref="A3:D8"/>
  <sheetViews>
    <sheetView workbookViewId="0">
      <selection activeCell="B1" sqref="B1"/>
    </sheetView>
  </sheetViews>
  <sheetFormatPr defaultRowHeight="15"/>
  <cols>
    <col min="1" max="1" width="11.42578125" bestFit="1" customWidth="1"/>
    <col min="2" max="2" width="16.140625" bestFit="1" customWidth="1"/>
    <col min="3" max="3" width="15.42578125" bestFit="1" customWidth="1"/>
    <col min="4" max="6" width="19.28515625" bestFit="1" customWidth="1"/>
  </cols>
  <sheetData>
    <row r="3" spans="1:4">
      <c r="A3" s="2" t="s">
        <v>3</v>
      </c>
      <c r="B3" t="s">
        <v>328</v>
      </c>
      <c r="C3" t="s">
        <v>329</v>
      </c>
      <c r="D3" t="s">
        <v>330</v>
      </c>
    </row>
    <row r="4" spans="1:4">
      <c r="A4" t="s">
        <v>18</v>
      </c>
      <c r="B4" s="3">
        <v>125</v>
      </c>
      <c r="C4" s="3">
        <v>393</v>
      </c>
      <c r="D4" s="3">
        <v>6030780</v>
      </c>
    </row>
    <row r="5" spans="1:4">
      <c r="A5" t="s">
        <v>13</v>
      </c>
      <c r="B5" s="3">
        <v>111</v>
      </c>
      <c r="C5" s="3">
        <v>346</v>
      </c>
      <c r="D5" s="3">
        <v>3561010</v>
      </c>
    </row>
    <row r="6" spans="1:4">
      <c r="A6" t="s">
        <v>30</v>
      </c>
      <c r="B6" s="3">
        <v>118</v>
      </c>
      <c r="C6" s="3">
        <v>339</v>
      </c>
      <c r="D6" s="3">
        <v>5341150</v>
      </c>
    </row>
    <row r="7" spans="1:4">
      <c r="A7" t="s">
        <v>23</v>
      </c>
      <c r="B7" s="3">
        <v>146</v>
      </c>
      <c r="C7" s="3">
        <v>443</v>
      </c>
      <c r="D7" s="3">
        <v>5846080</v>
      </c>
    </row>
    <row r="8" spans="1:4">
      <c r="A8" t="s">
        <v>342</v>
      </c>
      <c r="B8" s="3">
        <v>500</v>
      </c>
      <c r="C8" s="3">
        <v>1521</v>
      </c>
      <c r="D8" s="3">
        <v>20779020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2E18-C459-49C3-BCD9-399F281DF478}">
  <dimension ref="A1:D8"/>
  <sheetViews>
    <sheetView topLeftCell="A2" workbookViewId="0">
      <selection activeCell="L24" sqref="L24"/>
    </sheetView>
  </sheetViews>
  <sheetFormatPr defaultRowHeight="15"/>
  <cols>
    <col min="1" max="1" width="12" bestFit="1" customWidth="1"/>
    <col min="2" max="2" width="16.140625" bestFit="1" customWidth="1"/>
    <col min="3" max="3" width="15.42578125" bestFit="1" customWidth="1"/>
    <col min="4" max="5" width="19.28515625" bestFit="1" customWidth="1"/>
  </cols>
  <sheetData>
    <row r="1" spans="1:4">
      <c r="A1" s="2" t="s">
        <v>3</v>
      </c>
      <c r="B1" t="s">
        <v>18</v>
      </c>
    </row>
    <row r="3" spans="1:4">
      <c r="A3" s="2" t="s">
        <v>5</v>
      </c>
      <c r="B3" t="s">
        <v>328</v>
      </c>
      <c r="C3" t="s">
        <v>329</v>
      </c>
      <c r="D3" t="s">
        <v>330</v>
      </c>
    </row>
    <row r="4" spans="1:4">
      <c r="A4" t="s">
        <v>27</v>
      </c>
      <c r="B4" s="3">
        <v>47</v>
      </c>
      <c r="C4" s="3">
        <v>167</v>
      </c>
      <c r="D4" s="7">
        <v>5350000</v>
      </c>
    </row>
    <row r="5" spans="1:4">
      <c r="A5" t="s">
        <v>15</v>
      </c>
      <c r="B5" s="3">
        <v>33</v>
      </c>
      <c r="C5" s="3">
        <v>98</v>
      </c>
      <c r="D5" s="7">
        <v>602000</v>
      </c>
    </row>
    <row r="6" spans="1:4">
      <c r="A6" t="s">
        <v>44</v>
      </c>
      <c r="B6" s="3">
        <v>32</v>
      </c>
      <c r="C6" s="3">
        <v>92</v>
      </c>
      <c r="D6" s="7">
        <v>6780</v>
      </c>
    </row>
    <row r="7" spans="1:4">
      <c r="A7" t="s">
        <v>51</v>
      </c>
      <c r="B7" s="3">
        <v>13</v>
      </c>
      <c r="C7" s="3">
        <v>36</v>
      </c>
      <c r="D7" s="7">
        <v>72000</v>
      </c>
    </row>
    <row r="8" spans="1:4">
      <c r="A8" t="s">
        <v>342</v>
      </c>
      <c r="B8" s="3">
        <v>125</v>
      </c>
      <c r="C8" s="3">
        <v>393</v>
      </c>
      <c r="D8" s="3">
        <v>6030780</v>
      </c>
    </row>
  </sheetData>
  <conditionalFormatting pivot="1" sqref="C4:C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{DAE52745-04C0-4446-92D7-B4AA08D6B9F9}</x14:id>
        </ext>
      </extLst>
    </cfRule>
  </conditionalFormatting>
  <conditionalFormatting pivot="1" sqref="C4:C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{C45E27CA-D6B3-4095-942F-A51D31DE1C00}</x14:id>
        </ext>
      </extLst>
    </cfRule>
  </conditionalFormatting>
  <conditionalFormatting pivot="1" sqref="D4:D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AE52745-04C0-4446-92D7-B4AA08D6B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 pivot="1">
          <x14:cfRule type="dataBar" id="{C45E27CA-D6B3-4095-942F-A51D31DE1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C4:C7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09C64-874C-4691-9DE3-5EE8F13FBA4F}">
  <dimension ref="C3:G13"/>
  <sheetViews>
    <sheetView workbookViewId="0">
      <selection activeCell="D4" sqref="D4"/>
    </sheetView>
  </sheetViews>
  <sheetFormatPr defaultRowHeight="15"/>
  <cols>
    <col min="4" max="4" width="12" bestFit="1" customWidth="1"/>
    <col min="5" max="5" width="22.85546875" customWidth="1"/>
    <col min="6" max="6" width="18.85546875" bestFit="1" customWidth="1"/>
  </cols>
  <sheetData>
    <row r="3" spans="3:7">
      <c r="C3" s="8" t="s">
        <v>343</v>
      </c>
      <c r="D3" s="8" t="s">
        <v>344</v>
      </c>
      <c r="E3" s="8" t="s">
        <v>345</v>
      </c>
      <c r="F3" s="8" t="s">
        <v>346</v>
      </c>
      <c r="G3" s="8" t="s">
        <v>3</v>
      </c>
    </row>
    <row r="4" spans="3:7" ht="30.75">
      <c r="C4" s="9" t="str" cm="1">
        <f t="array" ref="C4:C13">_xlfn.UNIQUE(Table14[CustomerName])</f>
        <v>Ravi</v>
      </c>
      <c r="D4" s="9">
        <f>COUNTIF(Table14[CustomerName],C4)</f>
        <v>60</v>
      </c>
      <c r="E4" s="10">
        <f>SUMIF(Table14[CustomerName],C4,Table14[Quantity])</f>
        <v>190</v>
      </c>
      <c r="F4" s="11">
        <f>SUMIF(Table14[CustomerName],C4,Table14[TotalAmount])</f>
        <v>3157100</v>
      </c>
      <c r="G4" s="9" t="str">
        <f>INDEX(Table14[Region],MATCH(C4,Table14[CustomerName],0))</f>
        <v>North</v>
      </c>
    </row>
    <row r="5" spans="3:7">
      <c r="C5" s="9" t="str">
        <v>Neha</v>
      </c>
      <c r="D5" s="9">
        <f>COUNTIF(Table14[CustomerName],C5)</f>
        <v>47</v>
      </c>
      <c r="E5" s="10">
        <f>SUMIF(Table14[CustomerName],C5,Table14[Quantity])</f>
        <v>133</v>
      </c>
      <c r="F5" s="11">
        <f>SUMIF(Table14[CustomerName],C5,Table14[TotalAmount])</f>
        <v>2133480</v>
      </c>
      <c r="G5" s="9" t="str">
        <f>INDEX(Table14[Region],MATCH(C5,Table14[CustomerName],0))</f>
        <v>East</v>
      </c>
    </row>
    <row r="6" spans="3:7">
      <c r="C6" s="9" t="str">
        <v>Amit</v>
      </c>
      <c r="D6" s="9">
        <f>COUNTIF(Table14[CustomerName],C6)</f>
        <v>54</v>
      </c>
      <c r="E6" s="10">
        <f>SUMIF(Table14[CustomerName],C6,Table14[Quantity])</f>
        <v>168</v>
      </c>
      <c r="F6" s="11">
        <f>SUMIF(Table14[CustomerName],C6,Table14[TotalAmount])</f>
        <v>2723830</v>
      </c>
      <c r="G6" s="9" t="str">
        <f>INDEX(Table14[Region],MATCH(C6,Table14[CustomerName],0))</f>
        <v>North</v>
      </c>
    </row>
    <row r="7" spans="3:7">
      <c r="C7" s="9" t="str">
        <v>Anjali</v>
      </c>
      <c r="D7" s="9">
        <f>COUNTIF(Table14[CustomerName],C7)</f>
        <v>44</v>
      </c>
      <c r="E7" s="10">
        <f>SUMIF(Table14[CustomerName],C7,Table14[Quantity])</f>
        <v>128</v>
      </c>
      <c r="F7" s="11">
        <f>SUMIF(Table14[CustomerName],C7,Table14[TotalAmount])</f>
        <v>1690870</v>
      </c>
      <c r="G7" s="9" t="str">
        <f>INDEX(Table14[Region],MATCH(C7,Table14[CustomerName],0))</f>
        <v>South</v>
      </c>
    </row>
    <row r="8" spans="3:7">
      <c r="C8" s="9" t="str">
        <v>Vikas</v>
      </c>
      <c r="D8" s="9">
        <f>COUNTIF(Table14[CustomerName],C8)</f>
        <v>51</v>
      </c>
      <c r="E8" s="10">
        <f>SUMIF(Table14[CustomerName],C8,Table14[Quantity])</f>
        <v>149</v>
      </c>
      <c r="F8" s="11">
        <f>SUMIF(Table14[CustomerName],C8,Table14[TotalAmount])</f>
        <v>2003850</v>
      </c>
      <c r="G8" s="9" t="str">
        <f>INDEX(Table14[Region],MATCH(C8,Table14[CustomerName],0))</f>
        <v>West</v>
      </c>
    </row>
    <row r="9" spans="3:7">
      <c r="C9" s="9" t="str">
        <v>Rahul</v>
      </c>
      <c r="D9" s="9">
        <f>COUNTIF(Table14[CustomerName],C9)</f>
        <v>61</v>
      </c>
      <c r="E9" s="10">
        <f>SUMIF(Table14[CustomerName],C9,Table14[Quantity])</f>
        <v>164</v>
      </c>
      <c r="F9" s="11">
        <f>SUMIF(Table14[CustomerName],C9,Table14[TotalAmount])</f>
        <v>2426460</v>
      </c>
      <c r="G9" s="9" t="str">
        <f>INDEX(Table14[Region],MATCH(C9,Table14[CustomerName],0))</f>
        <v>West</v>
      </c>
    </row>
    <row r="10" spans="3:7">
      <c r="C10" s="9" t="str">
        <v>Priya</v>
      </c>
      <c r="D10" s="9">
        <f>COUNTIF(Table14[CustomerName],C10)</f>
        <v>48</v>
      </c>
      <c r="E10" s="10">
        <f>SUMIF(Table14[CustomerName],C10,Table14[Quantity])</f>
        <v>157</v>
      </c>
      <c r="F10" s="11">
        <f>SUMIF(Table14[CustomerName],C10,Table14[TotalAmount])</f>
        <v>1918080</v>
      </c>
      <c r="G10" s="9" t="str">
        <f>INDEX(Table14[Region],MATCH(C10,Table14[CustomerName],0))</f>
        <v>East</v>
      </c>
    </row>
    <row r="11" spans="3:7">
      <c r="C11" s="9" t="str">
        <v>Kiran</v>
      </c>
      <c r="D11" s="9">
        <f>COUNTIF(Table14[CustomerName],C11)</f>
        <v>39</v>
      </c>
      <c r="E11" s="10">
        <f>SUMIF(Table14[CustomerName],C11,Table14[Quantity])</f>
        <v>118</v>
      </c>
      <c r="F11" s="11">
        <f>SUMIF(Table14[CustomerName],C11,Table14[TotalAmount])</f>
        <v>1410100</v>
      </c>
      <c r="G11" s="9" t="str">
        <f>INDEX(Table14[Region],MATCH(C11,Table14[CustomerName],0))</f>
        <v>East</v>
      </c>
    </row>
    <row r="12" spans="3:7">
      <c r="C12" s="9" t="str">
        <v>Suresh</v>
      </c>
      <c r="D12" s="9">
        <f>COUNTIF(Table14[CustomerName],C12)</f>
        <v>38</v>
      </c>
      <c r="E12" s="10">
        <f>SUMIF(Table14[CustomerName],C12,Table14[Quantity])</f>
        <v>119</v>
      </c>
      <c r="F12" s="11">
        <f>SUMIF(Table14[CustomerName],C12,Table14[TotalAmount])</f>
        <v>1129020</v>
      </c>
      <c r="G12" s="9" t="str">
        <f>INDEX(Table14[Region],MATCH(C12,Table14[CustomerName],0))</f>
        <v>East</v>
      </c>
    </row>
    <row r="13" spans="3:7">
      <c r="C13" s="9" t="str">
        <v>Pooja</v>
      </c>
      <c r="D13" s="9">
        <f>COUNTIF(Table14[CustomerName],C13)</f>
        <v>58</v>
      </c>
      <c r="E13" s="10">
        <f>SUMIF(Table14[CustomerName],C13,Table14[Quantity])</f>
        <v>195</v>
      </c>
      <c r="F13" s="11">
        <f>SUMIF(Table14[CustomerName],C13,Table14[TotalAmount])</f>
        <v>2186230</v>
      </c>
      <c r="G13" s="9" t="str">
        <f>INDEX(Table14[Region],MATCH(C13,Table14[CustomerName],0))</f>
        <v>North</v>
      </c>
    </row>
  </sheetData>
  <conditionalFormatting sqref="E4:E1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{05A69F19-921A-4742-ABA5-0F899FA488DA}</x14:id>
        </ext>
      </extLst>
    </cfRule>
  </conditionalFormatting>
  <conditionalFormatting sqref="F4:F1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4:D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{81410C48-1774-4426-9182-DD59B9E5FB8D}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A69F19-921A-4742-ABA5-0F899FA488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E4:E13</xm:sqref>
        </x14:conditionalFormatting>
        <x14:conditionalFormatting xmlns:xm="http://schemas.microsoft.com/office/excel/2006/main">
          <x14:cfRule type="dataBar" id="{81410C48-1774-4426-9182-DD59B9E5F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CAE1-5EF2-4625-B46D-DDB4E9097BEA}">
  <dimension ref="C3:N22"/>
  <sheetViews>
    <sheetView tabSelected="1" topLeftCell="F8" workbookViewId="0">
      <selection activeCell="M22" sqref="M22"/>
    </sheetView>
  </sheetViews>
  <sheetFormatPr defaultRowHeight="15"/>
  <cols>
    <col min="4" max="4" width="36.5703125" bestFit="1" customWidth="1"/>
    <col min="6" max="6" width="36.5703125" bestFit="1" customWidth="1"/>
    <col min="11" max="11" width="36.5703125" bestFit="1" customWidth="1"/>
    <col min="13" max="13" width="36.5703125" bestFit="1" customWidth="1"/>
  </cols>
  <sheetData>
    <row r="3" spans="4:14" ht="45.75" customHeight="1">
      <c r="D3" s="12" t="s">
        <v>347</v>
      </c>
      <c r="E3" s="13"/>
      <c r="F3" s="13"/>
      <c r="G3" s="13"/>
      <c r="K3" s="16" t="s">
        <v>348</v>
      </c>
      <c r="L3" s="16"/>
      <c r="M3" s="16"/>
      <c r="N3" s="16"/>
    </row>
    <row r="20" spans="3:13">
      <c r="D20" s="14" t="s">
        <v>349</v>
      </c>
      <c r="F20" s="14" t="s">
        <v>350</v>
      </c>
      <c r="K20" s="14" t="s">
        <v>351</v>
      </c>
      <c r="M20" s="14" t="s">
        <v>352</v>
      </c>
    </row>
    <row r="21" spans="3:13" ht="76.5">
      <c r="C21">
        <v>1</v>
      </c>
      <c r="D21" s="1" t="s">
        <v>353</v>
      </c>
      <c r="E21">
        <v>1</v>
      </c>
      <c r="F21" s="15" t="s">
        <v>354</v>
      </c>
      <c r="K21" s="1" t="s">
        <v>355</v>
      </c>
      <c r="M21" s="1" t="s">
        <v>356</v>
      </c>
    </row>
    <row r="22" spans="3:13">
      <c r="D22" s="1"/>
    </row>
  </sheetData>
  <mergeCells count="2">
    <mergeCell ref="D3:G3"/>
    <mergeCell ref="K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2026-01-25T04:25:27Z</dcterms:created>
  <dcterms:modified xsi:type="dcterms:W3CDTF">2026-04-16T17:37:28Z</dcterms:modified>
  <cp:category/>
  <cp:contentStatus/>
</cp:coreProperties>
</file>